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70" windowWidth="25575" windowHeight="12600"/>
  </bookViews>
  <sheets>
    <sheet name="안내" sheetId="1" r:id="rId1"/>
    <sheet name="정규라운드" sheetId="2" r:id="rId2"/>
    <sheet name="플레이오프" sheetId="3" r:id="rId3"/>
    <sheet name="목록" sheetId="4" r:id="rId4"/>
  </sheets>
  <definedNames>
    <definedName name="_xlnm._FilterDatabase" localSheetId="1" hidden="1">정규라운드!$A$1:$X$81</definedName>
    <definedName name="_xlnm._FilterDatabase" localSheetId="2" hidden="1">플레이오프!$A$1:$X$81</definedName>
  </definedNames>
  <calcPr calcId="144525"/>
</workbook>
</file>

<file path=xl/calcChain.xml><?xml version="1.0" encoding="utf-8"?>
<calcChain xmlns="http://schemas.openxmlformats.org/spreadsheetml/2006/main">
  <c r="X81" i="3" l="1"/>
  <c r="W81" i="3"/>
  <c r="V81" i="3"/>
  <c r="X80" i="3"/>
  <c r="W80" i="3"/>
  <c r="V80" i="3"/>
  <c r="X79" i="3"/>
  <c r="W79" i="3"/>
  <c r="V79" i="3"/>
  <c r="X78" i="3"/>
  <c r="W78" i="3"/>
  <c r="V78" i="3"/>
  <c r="X77" i="3"/>
  <c r="W77" i="3"/>
  <c r="V77" i="3"/>
  <c r="X76" i="3"/>
  <c r="W76" i="3"/>
  <c r="V76" i="3"/>
  <c r="X75" i="3"/>
  <c r="W75" i="3"/>
  <c r="V75" i="3"/>
  <c r="X74" i="3"/>
  <c r="W74" i="3"/>
  <c r="V74" i="3"/>
  <c r="X73" i="3"/>
  <c r="W73" i="3"/>
  <c r="V73" i="3"/>
  <c r="X72" i="3"/>
  <c r="W72" i="3"/>
  <c r="V72" i="3"/>
  <c r="X71" i="3"/>
  <c r="W71" i="3"/>
  <c r="V71" i="3"/>
  <c r="X70" i="3"/>
  <c r="W70" i="3"/>
  <c r="V70" i="3"/>
  <c r="X69" i="3"/>
  <c r="W69" i="3"/>
  <c r="V69" i="3"/>
  <c r="X68" i="3"/>
  <c r="W68" i="3"/>
  <c r="V68" i="3"/>
  <c r="X67" i="3"/>
  <c r="W67" i="3"/>
  <c r="V67" i="3"/>
  <c r="X66" i="3"/>
  <c r="W66" i="3"/>
  <c r="V66" i="3"/>
  <c r="X65" i="3"/>
  <c r="W65" i="3"/>
  <c r="V65" i="3"/>
  <c r="X64" i="3"/>
  <c r="W64" i="3"/>
  <c r="V64" i="3"/>
  <c r="X63" i="3"/>
  <c r="W63" i="3"/>
  <c r="V63" i="3"/>
  <c r="X62" i="3"/>
  <c r="W62" i="3"/>
  <c r="V62" i="3"/>
  <c r="X61" i="3"/>
  <c r="W61" i="3"/>
  <c r="V61" i="3"/>
  <c r="X60" i="3"/>
  <c r="W60" i="3"/>
  <c r="V60" i="3"/>
  <c r="X59" i="3"/>
  <c r="W59" i="3"/>
  <c r="V59" i="3"/>
  <c r="X58" i="3"/>
  <c r="W58" i="3"/>
  <c r="V58" i="3"/>
  <c r="X57" i="3"/>
  <c r="W57" i="3"/>
  <c r="V57" i="3"/>
  <c r="X56" i="3"/>
  <c r="W56" i="3"/>
  <c r="V56" i="3"/>
  <c r="X55" i="3"/>
  <c r="W55" i="3"/>
  <c r="V55" i="3"/>
  <c r="X54" i="3"/>
  <c r="W54" i="3"/>
  <c r="V54" i="3"/>
  <c r="X53" i="3"/>
  <c r="W53" i="3"/>
  <c r="V53" i="3"/>
  <c r="X52" i="3"/>
  <c r="W52" i="3"/>
  <c r="V52" i="3"/>
  <c r="X51" i="3"/>
  <c r="W51" i="3"/>
  <c r="V51" i="3"/>
  <c r="X50" i="3"/>
  <c r="W50" i="3"/>
  <c r="V50" i="3"/>
  <c r="X49" i="3"/>
  <c r="W49" i="3"/>
  <c r="V49" i="3"/>
  <c r="X48" i="3"/>
  <c r="W48" i="3"/>
  <c r="V48" i="3"/>
  <c r="X47" i="3"/>
  <c r="W47" i="3"/>
  <c r="V47" i="3"/>
  <c r="X46" i="3"/>
  <c r="W46" i="3"/>
  <c r="V46" i="3"/>
  <c r="X45" i="3"/>
  <c r="W45" i="3"/>
  <c r="V45" i="3"/>
  <c r="X44" i="3"/>
  <c r="W44" i="3"/>
  <c r="V44" i="3"/>
  <c r="X43" i="3"/>
  <c r="W43" i="3"/>
  <c r="V43" i="3"/>
  <c r="X42" i="3"/>
  <c r="W42" i="3"/>
  <c r="V42" i="3"/>
  <c r="X41" i="3"/>
  <c r="W41" i="3"/>
  <c r="V41" i="3"/>
  <c r="X40" i="3"/>
  <c r="W40" i="3"/>
  <c r="V40" i="3"/>
  <c r="X39" i="3"/>
  <c r="W39" i="3"/>
  <c r="V39" i="3"/>
  <c r="X38" i="3"/>
  <c r="W38" i="3"/>
  <c r="V38" i="3"/>
  <c r="X37" i="3"/>
  <c r="W37" i="3"/>
  <c r="V37" i="3"/>
  <c r="X36" i="3"/>
  <c r="W36" i="3"/>
  <c r="V36" i="3"/>
  <c r="X35" i="3"/>
  <c r="W35" i="3"/>
  <c r="V35" i="3"/>
  <c r="X34" i="3"/>
  <c r="W34" i="3"/>
  <c r="V34" i="3"/>
  <c r="X33" i="3"/>
  <c r="W33" i="3"/>
  <c r="V33" i="3"/>
  <c r="X32" i="3"/>
  <c r="W32" i="3"/>
  <c r="V32" i="3"/>
  <c r="X31" i="3"/>
  <c r="W31" i="3"/>
  <c r="V31" i="3"/>
  <c r="X30" i="3"/>
  <c r="W30" i="3"/>
  <c r="V30" i="3"/>
  <c r="X29" i="3"/>
  <c r="W29" i="3"/>
  <c r="V29" i="3"/>
  <c r="X28" i="3"/>
  <c r="W28" i="3"/>
  <c r="V28" i="3"/>
  <c r="X27" i="3"/>
  <c r="W27" i="3"/>
  <c r="V27" i="3"/>
  <c r="X26" i="3"/>
  <c r="W26" i="3"/>
  <c r="V26" i="3"/>
  <c r="X25" i="3"/>
  <c r="W25" i="3"/>
  <c r="V25" i="3"/>
  <c r="X24" i="3"/>
  <c r="W24" i="3"/>
  <c r="V24" i="3"/>
  <c r="X23" i="3"/>
  <c r="W23" i="3"/>
  <c r="V23" i="3"/>
  <c r="X22" i="3"/>
  <c r="W22" i="3"/>
  <c r="V22" i="3"/>
  <c r="X21" i="3"/>
  <c r="W21" i="3"/>
  <c r="V21" i="3"/>
  <c r="X20" i="3"/>
  <c r="W20" i="3"/>
  <c r="V20" i="3"/>
  <c r="X19" i="3"/>
  <c r="W19" i="3"/>
  <c r="V19" i="3"/>
  <c r="X18" i="3"/>
  <c r="W18" i="3"/>
  <c r="V18" i="3"/>
  <c r="X17" i="3"/>
  <c r="W17" i="3"/>
  <c r="V17" i="3"/>
  <c r="X16" i="3"/>
  <c r="W16" i="3"/>
  <c r="V16" i="3"/>
  <c r="X15" i="3"/>
  <c r="W15" i="3"/>
  <c r="V15" i="3"/>
  <c r="X14" i="3"/>
  <c r="W14" i="3"/>
  <c r="V14" i="3"/>
  <c r="X13" i="3"/>
  <c r="W13" i="3"/>
  <c r="V13" i="3"/>
  <c r="X12" i="3"/>
  <c r="W12" i="3"/>
  <c r="V12" i="3"/>
  <c r="X11" i="3"/>
  <c r="W11" i="3"/>
  <c r="V11" i="3"/>
  <c r="X10" i="3"/>
  <c r="W10" i="3"/>
  <c r="V10" i="3"/>
  <c r="X9" i="3"/>
  <c r="W9" i="3"/>
  <c r="V9" i="3"/>
  <c r="X8" i="3"/>
  <c r="W8" i="3"/>
  <c r="V8" i="3"/>
  <c r="X7" i="3"/>
  <c r="W7" i="3"/>
  <c r="V7" i="3"/>
  <c r="X6" i="3"/>
  <c r="W6" i="3"/>
  <c r="V6" i="3"/>
  <c r="X5" i="3"/>
  <c r="W5" i="3"/>
  <c r="V5" i="3"/>
  <c r="X4" i="3"/>
  <c r="W4" i="3"/>
  <c r="V4" i="3"/>
  <c r="X3" i="3"/>
  <c r="W3" i="3"/>
  <c r="V3" i="3"/>
  <c r="X2" i="3"/>
  <c r="W2" i="3"/>
  <c r="V2" i="3"/>
  <c r="X81" i="2"/>
  <c r="W81" i="2"/>
  <c r="V81" i="2"/>
  <c r="X80" i="2"/>
  <c r="W80" i="2"/>
  <c r="V80" i="2"/>
  <c r="X79" i="2"/>
  <c r="W79" i="2"/>
  <c r="V79" i="2"/>
  <c r="X78" i="2"/>
  <c r="W78" i="2"/>
  <c r="V78" i="2"/>
  <c r="X77" i="2"/>
  <c r="W77" i="2"/>
  <c r="V77" i="2"/>
  <c r="X76" i="2"/>
  <c r="W76" i="2"/>
  <c r="V76" i="2"/>
  <c r="X75" i="2"/>
  <c r="W75" i="2"/>
  <c r="V75" i="2"/>
  <c r="X74" i="2"/>
  <c r="W74" i="2"/>
  <c r="V74" i="2"/>
  <c r="X73" i="2"/>
  <c r="W73" i="2"/>
  <c r="V73" i="2"/>
  <c r="X72" i="2"/>
  <c r="W72" i="2"/>
  <c r="V72" i="2"/>
  <c r="X71" i="2"/>
  <c r="W71" i="2"/>
  <c r="V71" i="2"/>
  <c r="X70" i="2"/>
  <c r="W70" i="2"/>
  <c r="V70" i="2"/>
  <c r="X69" i="2"/>
  <c r="W69" i="2"/>
  <c r="V69" i="2"/>
  <c r="X68" i="2"/>
  <c r="W68" i="2"/>
  <c r="V68" i="2"/>
  <c r="X67" i="2"/>
  <c r="W67" i="2"/>
  <c r="V67" i="2"/>
  <c r="X66" i="2"/>
  <c r="W66" i="2"/>
  <c r="V66" i="2"/>
  <c r="X65" i="2"/>
  <c r="W65" i="2"/>
  <c r="V65" i="2"/>
  <c r="X64" i="2"/>
  <c r="W64" i="2"/>
  <c r="V64" i="2"/>
  <c r="X63" i="2"/>
  <c r="W63" i="2"/>
  <c r="V63" i="2"/>
  <c r="X62" i="2"/>
  <c r="W62" i="2"/>
  <c r="V62" i="2"/>
  <c r="X61" i="2"/>
  <c r="W61" i="2"/>
  <c r="V61" i="2"/>
  <c r="X60" i="2"/>
  <c r="W60" i="2"/>
  <c r="V60" i="2"/>
  <c r="X59" i="2"/>
  <c r="W59" i="2"/>
  <c r="V59" i="2"/>
  <c r="X58" i="2"/>
  <c r="W58" i="2"/>
  <c r="V58" i="2"/>
  <c r="X57" i="2"/>
  <c r="W57" i="2"/>
  <c r="V57" i="2"/>
  <c r="X56" i="2"/>
  <c r="W56" i="2"/>
  <c r="V56" i="2"/>
  <c r="X55" i="2"/>
  <c r="W55" i="2"/>
  <c r="V55" i="2"/>
  <c r="X54" i="2"/>
  <c r="W54" i="2"/>
  <c r="V54" i="2"/>
  <c r="X53" i="2"/>
  <c r="W53" i="2"/>
  <c r="V53" i="2"/>
  <c r="X52" i="2"/>
  <c r="W52" i="2"/>
  <c r="V52" i="2"/>
  <c r="X51" i="2"/>
  <c r="W51" i="2"/>
  <c r="V51" i="2"/>
  <c r="X50" i="2"/>
  <c r="W50" i="2"/>
  <c r="V50" i="2"/>
  <c r="X49" i="2"/>
  <c r="W49" i="2"/>
  <c r="V49" i="2"/>
  <c r="X48" i="2"/>
  <c r="W48" i="2"/>
  <c r="V48" i="2"/>
  <c r="X47" i="2"/>
  <c r="W47" i="2"/>
  <c r="V47" i="2"/>
  <c r="X46" i="2"/>
  <c r="W46" i="2"/>
  <c r="V46" i="2"/>
  <c r="X45" i="2"/>
  <c r="W45" i="2"/>
  <c r="V45" i="2"/>
  <c r="X44" i="2"/>
  <c r="W44" i="2"/>
  <c r="V44" i="2"/>
  <c r="X43" i="2"/>
  <c r="W43" i="2"/>
  <c r="V43" i="2"/>
  <c r="X42" i="2"/>
  <c r="W42" i="2"/>
  <c r="V42" i="2"/>
  <c r="X41" i="2"/>
  <c r="W41" i="2"/>
  <c r="V41" i="2"/>
  <c r="X40" i="2"/>
  <c r="W40" i="2"/>
  <c r="V40" i="2"/>
  <c r="X39" i="2"/>
  <c r="W39" i="2"/>
  <c r="V39" i="2"/>
  <c r="X38" i="2"/>
  <c r="W38" i="2"/>
  <c r="V38" i="2"/>
  <c r="X37" i="2"/>
  <c r="W37" i="2"/>
  <c r="V37" i="2"/>
  <c r="X36" i="2"/>
  <c r="W36" i="2"/>
  <c r="V36" i="2"/>
  <c r="X35" i="2"/>
  <c r="W35" i="2"/>
  <c r="V35" i="2"/>
  <c r="X34" i="2"/>
  <c r="W34" i="2"/>
  <c r="V34" i="2"/>
  <c r="X33" i="2"/>
  <c r="W33" i="2"/>
  <c r="V33" i="2"/>
  <c r="X32" i="2"/>
  <c r="W32" i="2"/>
  <c r="V32" i="2"/>
  <c r="X31" i="2"/>
  <c r="W31" i="2"/>
  <c r="V31" i="2"/>
  <c r="X30" i="2"/>
  <c r="W30" i="2"/>
  <c r="V30" i="2"/>
  <c r="X29" i="2"/>
  <c r="W29" i="2"/>
  <c r="V29" i="2"/>
  <c r="X28" i="2"/>
  <c r="W28" i="2"/>
  <c r="V28" i="2"/>
  <c r="X27" i="2"/>
  <c r="W27" i="2"/>
  <c r="V27" i="2"/>
  <c r="X26" i="2"/>
  <c r="W26" i="2"/>
  <c r="V26" i="2"/>
  <c r="X25" i="2"/>
  <c r="W25" i="2"/>
  <c r="V25" i="2"/>
  <c r="X24" i="2"/>
  <c r="W24" i="2"/>
  <c r="V24" i="2"/>
  <c r="X23" i="2"/>
  <c r="W23" i="2"/>
  <c r="V23" i="2"/>
  <c r="X22" i="2"/>
  <c r="W22" i="2"/>
  <c r="V22" i="2"/>
  <c r="X21" i="2"/>
  <c r="W21" i="2"/>
  <c r="V21" i="2"/>
  <c r="X20" i="2"/>
  <c r="W20" i="2"/>
  <c r="V20" i="2"/>
  <c r="X19" i="2"/>
  <c r="W19" i="2"/>
  <c r="V19" i="2"/>
  <c r="X18" i="2"/>
  <c r="W18" i="2"/>
  <c r="V18" i="2"/>
  <c r="X17" i="2"/>
  <c r="W17" i="2"/>
  <c r="V17" i="2"/>
  <c r="X16" i="2"/>
  <c r="W16" i="2"/>
  <c r="V16" i="2"/>
  <c r="X15" i="2"/>
  <c r="W15" i="2"/>
  <c r="V15" i="2"/>
  <c r="X14" i="2"/>
  <c r="W14" i="2"/>
  <c r="V14" i="2"/>
  <c r="X13" i="2"/>
  <c r="W13" i="2"/>
  <c r="V13" i="2"/>
  <c r="X12" i="2"/>
  <c r="W12" i="2"/>
  <c r="V12" i="2"/>
  <c r="X11" i="2"/>
  <c r="W11" i="2"/>
  <c r="V11" i="2"/>
  <c r="X10" i="2"/>
  <c r="W10" i="2"/>
  <c r="V10" i="2"/>
  <c r="X9" i="2"/>
  <c r="W9" i="2"/>
  <c r="V9" i="2"/>
  <c r="X8" i="2"/>
  <c r="W8" i="2"/>
  <c r="V8" i="2"/>
  <c r="X7" i="2"/>
  <c r="W7" i="2"/>
  <c r="V7" i="2"/>
  <c r="X6" i="2"/>
  <c r="W6" i="2"/>
  <c r="V6" i="2"/>
  <c r="X5" i="2"/>
  <c r="W5" i="2"/>
  <c r="V5" i="2"/>
  <c r="X4" i="2"/>
  <c r="W4" i="2"/>
  <c r="V4" i="2"/>
  <c r="X3" i="2"/>
  <c r="W3" i="2"/>
  <c r="V3" i="2"/>
  <c r="X2" i="2"/>
  <c r="W2" i="2"/>
  <c r="V2" i="2"/>
</calcChain>
</file>

<file path=xl/comments1.xml><?xml version="1.0" encoding="utf-8"?>
<comments xmlns="http://schemas.openxmlformats.org/spreadsheetml/2006/main">
  <authors>
    <author>TuF</author>
  </authors>
  <commentList>
    <comment ref="A1" authorId="0">
      <text>
        <r>
          <rPr>
            <sz val="11"/>
            <color theme="1"/>
            <rFont val="맑은 고딕"/>
            <family val="2"/>
            <scheme val="minor"/>
          </rPr>
          <t>1R, 2R, 3R 중에서 고르기</t>
        </r>
      </text>
    </comment>
    <comment ref="B1" authorId="0">
      <text>
        <r>
          <rPr>
            <sz val="11"/>
            <color theme="1"/>
            <rFont val="맑은 고딕"/>
            <family val="2"/>
            <scheme val="minor"/>
          </rPr>
          <t>숫자만 (M1 → 1). 정규 라운드는 1R~3R 전체에서 번호가 이어져요 (1R이 18경기면 2R은 19부터).</t>
        </r>
      </text>
    </comment>
    <comment ref="C1" authorId="0">
      <text>
        <r>
          <rPr>
            <sz val="11"/>
            <color theme="1"/>
            <rFont val="맑은 고딕"/>
            <family val="2"/>
            <scheme val="minor"/>
          </rPr>
          <t>10/4처럼 넣으면 날짜로 바뀌어요. 연도가 없으면 올해로, 11·12월 다음의 1월은 다음 해로 처리돼요.</t>
        </r>
      </text>
    </comment>
    <comment ref="F1" authorId="0">
      <text>
        <r>
          <rPr>
            <sz val="11"/>
            <color theme="1"/>
            <rFont val="맑은 고딕"/>
            <family val="2"/>
            <scheme val="minor"/>
          </rPr>
          <t>1티어~4티어: 그 티어 선수만 출전하는 개인전
팀플2 · 팀플3 · 팀플4: 2:2 · 3:3 · 4:4
홈지정: 홈팀이 개인전/팀플을 고르는 세트 (맵 칸 = 개인전일 때 맵)</t>
        </r>
      </text>
    </comment>
    <comment ref="R1" authorId="0">
      <text>
        <r>
          <rPr>
            <sz val="11"/>
            <color theme="1"/>
            <rFont val="맑은 고딕"/>
            <family val="2"/>
            <scheme val="minor"/>
          </rPr>
          <t>에결(ACE 결정전) 맵. 에결은 티어 제한 없는 개인전이에요.</t>
        </r>
      </text>
    </comment>
    <comment ref="S1" authorId="0">
      <text>
        <r>
          <rPr>
            <sz val="11"/>
            <color theme="1"/>
            <rFont val="맑은 고딕"/>
            <family val="2"/>
            <scheme val="minor"/>
          </rPr>
          <t>비우면 21:00</t>
        </r>
      </text>
    </comment>
    <comment ref="T1" authorId="0">
      <text>
        <r>
          <rPr>
            <sz val="11"/>
            <color theme="1"/>
            <rFont val="맑은 고딕"/>
            <family val="2"/>
            <scheme val="minor"/>
          </rPr>
          <t>비우면 경기 당일 19:00 (엔트리 마감은 공개 2시간 전)</t>
        </r>
      </text>
    </comment>
    <comment ref="X1" authorId="0">
      <text>
        <r>
          <rPr>
            <sz val="11"/>
            <color theme="1"/>
            <rFont val="맑은 고딕"/>
            <family val="2"/>
            <scheme val="minor"/>
          </rPr>
          <t>모든 줄이 OK여야 사이트에 한 번에 올릴 수 있어요.</t>
        </r>
      </text>
    </comment>
  </commentList>
</comments>
</file>

<file path=xl/comments2.xml><?xml version="1.0" encoding="utf-8"?>
<comments xmlns="http://schemas.openxmlformats.org/spreadsheetml/2006/main">
  <authors>
    <author>TuF</author>
  </authors>
  <commentList>
    <comment ref="A1" authorId="0">
      <text>
        <r>
          <rPr>
            <sz val="11"/>
            <color theme="1"/>
            <rFont val="맑은 고딕"/>
            <family val="2"/>
            <scheme val="minor"/>
          </rPr>
          <t>PO, 결승 중에서 고르기</t>
        </r>
      </text>
    </comment>
    <comment ref="B1" authorId="0">
      <text>
        <r>
          <rPr>
            <sz val="11"/>
            <color theme="1"/>
            <rFont val="맑은 고딕"/>
            <family val="2"/>
            <scheme val="minor"/>
          </rPr>
          <t>숫자만 (PO-1M → 1). 결승은 비워 두세요.</t>
        </r>
      </text>
    </comment>
    <comment ref="C1" authorId="0">
      <text>
        <r>
          <rPr>
            <sz val="11"/>
            <color theme="1"/>
            <rFont val="맑은 고딕"/>
            <family val="2"/>
            <scheme val="minor"/>
          </rPr>
          <t>10/4처럼 넣으면 날짜로 바뀌어요. 연도가 없으면 올해로, 11·12월 다음의 1월은 다음 해로 처리돼요.</t>
        </r>
      </text>
    </comment>
    <comment ref="F1" authorId="0">
      <text>
        <r>
          <rPr>
            <sz val="11"/>
            <color theme="1"/>
            <rFont val="맑은 고딕"/>
            <family val="2"/>
            <scheme val="minor"/>
          </rPr>
          <t>1티어~4티어: 그 티어 선수만 출전하는 개인전
팀플2 · 팀플3 · 팀플4: 2:2 · 3:3 · 4:4
홈지정: 홈팀이 개인전/팀플을 고르는 세트 (맵 칸 = 개인전일 때 맵)
어웨이지정: 원정팀이 고르는 세트 (플레이오프만)</t>
        </r>
      </text>
    </comment>
    <comment ref="R1" authorId="0">
      <text>
        <r>
          <rPr>
            <sz val="11"/>
            <color theme="1"/>
            <rFont val="맑은 고딕"/>
            <family val="2"/>
            <scheme val="minor"/>
          </rPr>
          <t>에결(ACE 결정전) 맵. 에결은 티어 제한 없는 개인전이에요.</t>
        </r>
      </text>
    </comment>
    <comment ref="S1" authorId="0">
      <text>
        <r>
          <rPr>
            <sz val="11"/>
            <color theme="1"/>
            <rFont val="맑은 고딕"/>
            <family val="2"/>
            <scheme val="minor"/>
          </rPr>
          <t>비우면 21:00</t>
        </r>
      </text>
    </comment>
    <comment ref="T1" authorId="0">
      <text>
        <r>
          <rPr>
            <sz val="11"/>
            <color theme="1"/>
            <rFont val="맑은 고딕"/>
            <family val="2"/>
            <scheme val="minor"/>
          </rPr>
          <t>비우면 경기 당일 19:00 (엔트리 마감은 공개 2시간 전)</t>
        </r>
      </text>
    </comment>
    <comment ref="X1" authorId="0">
      <text>
        <r>
          <rPr>
            <sz val="11"/>
            <color theme="1"/>
            <rFont val="맑은 고딕"/>
            <family val="2"/>
            <scheme val="minor"/>
          </rPr>
          <t>모든 줄이 OK여야 사이트에 한 번에 올릴 수 있어요.</t>
        </r>
      </text>
    </comment>
  </commentList>
</comments>
</file>

<file path=xl/sharedStrings.xml><?xml version="1.0" encoding="utf-8"?>
<sst xmlns="http://schemas.openxmlformats.org/spreadsheetml/2006/main" count="157" uniqueCount="87">
  <si>
    <t>TFPL 경기 일정 입력 양식</t>
  </si>
  <si>
    <t>이 파일을 채워서 PL 담당에게 주시면, 사이트(PL 관리 › 경기)에 한 번에 올려요.</t>
  </si>
  <si>
    <t>순서</t>
  </si>
  <si>
    <t>1. 목록 시트</t>
  </si>
  <si>
    <t>이번 시즌 팀 이름(A열)과 맵(B열)부터 적어 주세요. 드롭다운에 쓰여요. 팀 이름은 사이트에 등록한 이름과 똑같이.</t>
  </si>
  <si>
    <t>2. 정규라운드 시트</t>
  </si>
  <si>
    <t>1R · 2R · 3R 경기를 한 줄에 한 경기씩. 노란 칸은 전부 채워야 해요 (빈칸 없이).</t>
  </si>
  <si>
    <t>3. 플레이오프 시트</t>
  </si>
  <si>
    <t>4. 확인 칸</t>
  </si>
  <si>
    <t>맨 오른쪽 '확인 (자동)'이 모든 줄에서 초록 OK인지 봐 주세요. 빨간색이면 이유가 적혀 있어요.</t>
  </si>
  <si>
    <t>칸 설명</t>
  </si>
  <si>
    <t>라운드</t>
  </si>
  <si>
    <t>정규: 1R · 2R · 3R / 플레이오프: PO · 결승</t>
  </si>
  <si>
    <t>매치번호</t>
  </si>
  <si>
    <t>숫자만. 예전 'M1'은 1. 정규 라운드는 1R~3R 전체에서 이어져요 (1R이 18경기면 2R 첫 경기는 19). 사이트에서는 1R-1M, 2R-19M처럼 보여요.</t>
  </si>
  <si>
    <t>날짜</t>
  </si>
  <si>
    <t>10/4처럼 넣으면 돼요. 연도를 안 넣으면 올해로, 11 · 12월 다음에 오는 1월은 다음 해로 처리돼요.</t>
  </si>
  <si>
    <t>홈팀 · 원정팀</t>
  </si>
  <si>
    <t>왼쪽이 홈. 홈 지정 세트는 홈팀이 형식을 골라요.</t>
  </si>
  <si>
    <t>N세트 종류</t>
  </si>
  <si>
    <t>N세트 맵</t>
  </si>
  <si>
    <t>에결 맵</t>
  </si>
  <si>
    <t>시간 (선택)</t>
  </si>
  <si>
    <t>비우면 21:00</t>
  </si>
  <si>
    <t>엔트리 공개 (선택)</t>
  </si>
  <si>
    <t>비우면 경기 당일 19:00. 엔트리 마감은 공개 2시간 전(17:00)이에요.</t>
  </si>
  <si>
    <t>메모 (선택)</t>
  </si>
  <si>
    <t>자유롭게 (예: 중계 BJ, 연기 사유)</t>
  </si>
  <si>
    <t>경기코드 · 요일 · 확인</t>
  </si>
  <si>
    <t>자동으로 채워지는 칸이라 손대지 마세요.</t>
  </si>
  <si>
    <t>예시 (정규라운드 시트에 이렇게 들어가요 — 지난 시즌 1R-M1 기준)</t>
  </si>
  <si>
    <t>홈팀</t>
  </si>
  <si>
    <t>원정팀</t>
  </si>
  <si>
    <t>1세트 종류</t>
  </si>
  <si>
    <t>1세트 맵</t>
  </si>
  <si>
    <t>2세트 종류</t>
  </si>
  <si>
    <t>2세트 맵</t>
  </si>
  <si>
    <t>3세트 종류</t>
  </si>
  <si>
    <t>3세트 맵</t>
  </si>
  <si>
    <t>4세트 종류</t>
  </si>
  <si>
    <t>4세트 맵</t>
  </si>
  <si>
    <t>5세트 종류</t>
  </si>
  <si>
    <t>5세트 맵</t>
  </si>
  <si>
    <t>6세트 종류</t>
  </si>
  <si>
    <t>6세트 맵</t>
  </si>
  <si>
    <t>1R</t>
  </si>
  <si>
    <t>5월 5일</t>
  </si>
  <si>
    <t>만능브라더스</t>
  </si>
  <si>
    <t>언더독 S5</t>
  </si>
  <si>
    <t>1티어</t>
  </si>
  <si>
    <t>제인도</t>
  </si>
  <si>
    <t>2티어</t>
  </si>
  <si>
    <t>매치포인트</t>
  </si>
  <si>
    <t>3티어</t>
  </si>
  <si>
    <t>실피드</t>
  </si>
  <si>
    <t>팀플2</t>
  </si>
  <si>
    <t>빅헌터</t>
  </si>
  <si>
    <t>4티어</t>
  </si>
  <si>
    <t>폴리포이드</t>
  </si>
  <si>
    <t>홈지정</t>
  </si>
  <si>
    <t>녹아웃</t>
  </si>
  <si>
    <t>애티튜드</t>
  </si>
  <si>
    <t>※ 예시 줄은 이 안내 시트에만 있어요. 입력 시트는 빈 상태에서 시작해요.</t>
  </si>
  <si>
    <t>경기코드 (자동)</t>
  </si>
  <si>
    <t>요일 (자동)</t>
  </si>
  <si>
    <t>확인 (자동)</t>
  </si>
  <si>
    <t>팀 이름</t>
  </si>
  <si>
    <t>맵</t>
  </si>
  <si>
    <t>세트 종류 (정규)</t>
  </si>
  <si>
    <t>세트 종류 (플레이오프)</t>
  </si>
  <si>
    <t>이 시트 쓰는 법</t>
  </si>
  <si>
    <t>• A열 팀 이름: 이번 시즌 팀 이름을 먼저 적어 주세요. 사이트 'PL 관리 › 팀 · 선수단'에 등록한 이름과 글자 하나까지 똑같아야 해요.</t>
  </si>
  <si>
    <t>• B열 맵: 지금은 지난 시즌 맵이 예시로 들어 있어요. 이번 시즌 맵풀로 바꿔 주세요 (사이트 '맵풀'과 같은 이름).</t>
  </si>
  <si>
    <t>• C · D열 세트 종류는 고정 값이라 고치지 마세요.</t>
  </si>
  <si>
    <t>• 여기 적은 팀 · 맵이 '정규라운드' · '플레이오프' 시트의 드롭다운 목록이 돼요.</t>
  </si>
  <si>
    <t>팀플3</t>
  </si>
  <si>
    <t>옥타곤</t>
  </si>
  <si>
    <t>팀플4</t>
  </si>
  <si>
    <t>폴스타</t>
  </si>
  <si>
    <t>루나</t>
  </si>
  <si>
    <t>어웨이지정</t>
  </si>
  <si>
    <t>헌터리스</t>
  </si>
  <si>
    <t>레퀴엠</t>
  </si>
  <si>
    <t>PO 경기와 결승. 정규와 같이 세트 6개 + 에결 (개인전 4 · 팀플 2, 홈지정 없음). 결승은 매치번호를 비워 두세요.</t>
    <phoneticPr fontId="8" type="noConversion"/>
  </si>
  <si>
    <t>1티어 · 2티어 · 3티어 · 4티어 = 그 티어와 아래 티어 선수가 나가는 개인전
팀플2 · 팀플3 · 팀플4 = 2:2 · 3:3 · 4:4 (팀플은 인원까지 꼭 구분)
홈지정 = 홈팀이 지정 티어 개인전(1~4티어 중 선택) 또는 생컨(2:2 · 폴리포이드 · 티어합 지정) 중에서 고르는 세트 (정규 라운드만)</t>
    <phoneticPr fontId="8" type="noConversion"/>
  </si>
  <si>
    <t>그 세트 맵. 홈지정 세트는 '지정 티어 개인전을 고르면 쓰는 맵'을 적어요 (생컨을 고르면 폴리포이드로 자동).</t>
    <phoneticPr fontId="8" type="noConversion"/>
  </si>
  <si>
    <t>7세트 ACE 결정전 맵 (정규 · 플레이오프 모두). 3:3일 때만 하고, 티어는 경기 당일 핀볼 추첨이에요.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</si>
</sst>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m&quot;월&quot;\ d&quot;일&quot;"/>
    <numFmt numFmtId="177" formatCode="hh:mm"/>
    <numFmt numFmtId="178" formatCode="m&quot;월&quot;\ d&quot;일&quot;\ hh:mm"/>
  </numFmts>
  <fonts count="9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rgb="FF8B6A10"/>
      <name val="맑은 고딕"/>
      <family val="3"/>
      <charset val="129"/>
    </font>
    <font>
      <sz val="9"/>
      <color rgb="FF6B665E"/>
      <name val="맑은 고딕"/>
      <family val="3"/>
      <charset val="129"/>
    </font>
    <font>
      <sz val="10"/>
      <color rgb="FF555555"/>
      <name val="맑은 고딕"/>
      <family val="3"/>
      <charset val="129"/>
    </font>
    <font>
      <b/>
      <sz val="16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6140F"/>
      </patternFill>
    </fill>
    <fill>
      <patternFill patternType="solid">
        <fgColor rgb="FFFFF9E0"/>
      </patternFill>
    </fill>
    <fill>
      <patternFill patternType="solid">
        <fgColor rgb="FF4F4A42"/>
      </patternFill>
    </fill>
    <fill>
      <patternFill patternType="solid">
        <fgColor rgb="FF8B857A"/>
      </patternFill>
    </fill>
    <fill>
      <patternFill patternType="solid">
        <fgColor rgb="FFB8891C"/>
      </patternFill>
    </fill>
    <fill>
      <patternFill patternType="solid">
        <fgColor rgb="FFFFF3C4"/>
      </patternFill>
    </fill>
    <fill>
      <patternFill patternType="solid">
        <fgColor rgb="FFF6F5F2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D9D4CA"/>
      </left>
      <right style="thin">
        <color rgb="FFD9D4CA"/>
      </right>
      <top style="thin">
        <color rgb="FFD9D4CA"/>
      </top>
      <bottom style="thin">
        <color rgb="FFD9D4C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6" fillId="0" borderId="0" xfId="0" applyFont="1"/>
    <xf numFmtId="0" fontId="4" fillId="0" borderId="0" xfId="0" applyFont="1"/>
    <xf numFmtId="0" fontId="3" fillId="0" borderId="0" xfId="0" applyFont="1"/>
    <xf numFmtId="0" fontId="7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77" fontId="2" fillId="8" borderId="1" xfId="0" applyNumberFormat="1" applyFont="1" applyFill="1" applyBorder="1" applyAlignment="1">
      <alignment horizontal="center" vertical="center" wrapText="1"/>
    </xf>
    <xf numFmtId="178" fontId="2" fillId="8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  <xf numFmtId="0" fontId="4" fillId="0" borderId="0" xfId="0" applyFont="1" applyAlignment="1">
      <alignment horizontal="left" vertical="center" wrapText="1"/>
    </xf>
  </cellXfs>
  <cellStyles count="1">
    <cellStyle name="표준" xfId="0" builtinId="0"/>
  </cellStyles>
  <dxfs count="4">
    <dxf>
      <fill>
        <patternFill patternType="solid">
          <fgColor rgb="FFCFE9D6"/>
        </patternFill>
      </fill>
    </dxf>
    <dxf>
      <fill>
        <patternFill patternType="solid">
          <fgColor rgb="FFF8C9C9"/>
        </patternFill>
      </fill>
    </dxf>
    <dxf>
      <fill>
        <patternFill patternType="solid">
          <fgColor rgb="FFCFE9D6"/>
        </patternFill>
      </fill>
    </dxf>
    <dxf>
      <fill>
        <patternFill patternType="solid">
          <fgColor rgb="FFF8C9C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7"/>
  <sheetViews>
    <sheetView tabSelected="1" workbookViewId="0"/>
  </sheetViews>
  <sheetFormatPr defaultRowHeight="16.5" x14ac:dyDescent="0.3"/>
  <cols>
    <col min="1" max="1" width="3" customWidth="1"/>
    <col min="2" max="2" width="26" customWidth="1"/>
    <col min="3" max="3" width="92" customWidth="1"/>
    <col min="4" max="19" width="13" customWidth="1"/>
  </cols>
  <sheetData>
    <row r="2" spans="2:3" ht="26.25" x14ac:dyDescent="0.5">
      <c r="B2" s="1" t="s">
        <v>0</v>
      </c>
    </row>
    <row r="3" spans="2:3" x14ac:dyDescent="0.3">
      <c r="B3" s="2" t="s">
        <v>1</v>
      </c>
    </row>
    <row r="5" spans="2:3" x14ac:dyDescent="0.3">
      <c r="B5" s="3" t="s">
        <v>2</v>
      </c>
    </row>
    <row r="6" spans="2:3" ht="24" customHeight="1" x14ac:dyDescent="0.3">
      <c r="B6" s="4" t="s">
        <v>3</v>
      </c>
      <c r="C6" s="5" t="s">
        <v>4</v>
      </c>
    </row>
    <row r="7" spans="2:3" ht="24" customHeight="1" x14ac:dyDescent="0.3">
      <c r="B7" s="4" t="s">
        <v>5</v>
      </c>
      <c r="C7" s="5" t="s">
        <v>6</v>
      </c>
    </row>
    <row r="8" spans="2:3" ht="24" customHeight="1" x14ac:dyDescent="0.3">
      <c r="B8" s="4" t="s">
        <v>7</v>
      </c>
      <c r="C8" s="5" t="s">
        <v>83</v>
      </c>
    </row>
    <row r="9" spans="2:3" ht="24" customHeight="1" x14ac:dyDescent="0.3">
      <c r="B9" s="4" t="s">
        <v>8</v>
      </c>
      <c r="C9" s="5" t="s">
        <v>9</v>
      </c>
    </row>
    <row r="10" spans="2:3" x14ac:dyDescent="0.3">
      <c r="B10" s="3" t="s">
        <v>10</v>
      </c>
    </row>
    <row r="11" spans="2:3" ht="24" customHeight="1" x14ac:dyDescent="0.3">
      <c r="B11" s="4" t="s">
        <v>11</v>
      </c>
      <c r="C11" s="5" t="s">
        <v>12</v>
      </c>
    </row>
    <row r="12" spans="2:3" ht="24" customHeight="1" x14ac:dyDescent="0.3">
      <c r="B12" s="4" t="s">
        <v>13</v>
      </c>
      <c r="C12" s="5" t="s">
        <v>14</v>
      </c>
    </row>
    <row r="13" spans="2:3" ht="24" customHeight="1" x14ac:dyDescent="0.3">
      <c r="B13" s="4" t="s">
        <v>15</v>
      </c>
      <c r="C13" s="5" t="s">
        <v>16</v>
      </c>
    </row>
    <row r="14" spans="2:3" ht="24" customHeight="1" x14ac:dyDescent="0.3">
      <c r="B14" s="4" t="s">
        <v>17</v>
      </c>
      <c r="C14" s="5" t="s">
        <v>18</v>
      </c>
    </row>
    <row r="15" spans="2:3" ht="78" customHeight="1" x14ac:dyDescent="0.3">
      <c r="B15" s="4" t="s">
        <v>19</v>
      </c>
      <c r="C15" s="5" t="s">
        <v>84</v>
      </c>
    </row>
    <row r="16" spans="2:3" ht="24" customHeight="1" x14ac:dyDescent="0.3">
      <c r="B16" s="4" t="s">
        <v>20</v>
      </c>
      <c r="C16" s="5" t="s">
        <v>85</v>
      </c>
    </row>
    <row r="17" spans="2:19" ht="24" customHeight="1" x14ac:dyDescent="0.3">
      <c r="B17" s="4" t="s">
        <v>21</v>
      </c>
      <c r="C17" s="5" t="s">
        <v>86</v>
      </c>
    </row>
    <row r="18" spans="2:19" ht="24" customHeight="1" x14ac:dyDescent="0.3">
      <c r="B18" s="4" t="s">
        <v>22</v>
      </c>
      <c r="C18" s="5" t="s">
        <v>23</v>
      </c>
    </row>
    <row r="19" spans="2:19" ht="24" customHeight="1" x14ac:dyDescent="0.3">
      <c r="B19" s="4" t="s">
        <v>24</v>
      </c>
      <c r="C19" s="5" t="s">
        <v>25</v>
      </c>
    </row>
    <row r="20" spans="2:19" ht="24" customHeight="1" x14ac:dyDescent="0.3">
      <c r="B20" s="4" t="s">
        <v>26</v>
      </c>
      <c r="C20" s="5" t="s">
        <v>27</v>
      </c>
    </row>
    <row r="21" spans="2:19" ht="24" customHeight="1" x14ac:dyDescent="0.3">
      <c r="B21" s="4" t="s">
        <v>28</v>
      </c>
      <c r="C21" s="5" t="s">
        <v>29</v>
      </c>
    </row>
    <row r="23" spans="2:19" x14ac:dyDescent="0.3">
      <c r="B23" s="3" t="s">
        <v>30</v>
      </c>
    </row>
    <row r="24" spans="2:19" ht="30" customHeight="1" x14ac:dyDescent="0.3">
      <c r="B24" s="6" t="s">
        <v>11</v>
      </c>
      <c r="C24" s="6" t="s">
        <v>13</v>
      </c>
      <c r="D24" s="6" t="s">
        <v>15</v>
      </c>
      <c r="E24" s="6" t="s">
        <v>31</v>
      </c>
      <c r="F24" s="6" t="s">
        <v>32</v>
      </c>
      <c r="G24" s="6" t="s">
        <v>33</v>
      </c>
      <c r="H24" s="6" t="s">
        <v>34</v>
      </c>
      <c r="I24" s="6" t="s">
        <v>35</v>
      </c>
      <c r="J24" s="6" t="s">
        <v>36</v>
      </c>
      <c r="K24" s="6" t="s">
        <v>37</v>
      </c>
      <c r="L24" s="6" t="s">
        <v>38</v>
      </c>
      <c r="M24" s="6" t="s">
        <v>39</v>
      </c>
      <c r="N24" s="6" t="s">
        <v>40</v>
      </c>
      <c r="O24" s="6" t="s">
        <v>41</v>
      </c>
      <c r="P24" s="6" t="s">
        <v>42</v>
      </c>
      <c r="Q24" s="6" t="s">
        <v>43</v>
      </c>
      <c r="R24" s="6" t="s">
        <v>44</v>
      </c>
      <c r="S24" s="6" t="s">
        <v>21</v>
      </c>
    </row>
    <row r="25" spans="2:19" x14ac:dyDescent="0.3">
      <c r="B25" s="7" t="s">
        <v>45</v>
      </c>
      <c r="C25" s="7">
        <v>1</v>
      </c>
      <c r="D25" s="7" t="s">
        <v>46</v>
      </c>
      <c r="E25" s="7" t="s">
        <v>47</v>
      </c>
      <c r="F25" s="7" t="s">
        <v>48</v>
      </c>
      <c r="G25" s="7" t="s">
        <v>49</v>
      </c>
      <c r="H25" s="7" t="s">
        <v>50</v>
      </c>
      <c r="I25" s="7" t="s">
        <v>51</v>
      </c>
      <c r="J25" s="7" t="s">
        <v>52</v>
      </c>
      <c r="K25" s="7" t="s">
        <v>53</v>
      </c>
      <c r="L25" s="7" t="s">
        <v>54</v>
      </c>
      <c r="M25" s="7" t="s">
        <v>55</v>
      </c>
      <c r="N25" s="7" t="s">
        <v>56</v>
      </c>
      <c r="O25" s="7" t="s">
        <v>57</v>
      </c>
      <c r="P25" s="7" t="s">
        <v>58</v>
      </c>
      <c r="Q25" s="7" t="s">
        <v>59</v>
      </c>
      <c r="R25" s="7" t="s">
        <v>60</v>
      </c>
      <c r="S25" s="7" t="s">
        <v>61</v>
      </c>
    </row>
    <row r="27" spans="2:19" x14ac:dyDescent="0.3">
      <c r="B27" s="2" t="s">
        <v>62</v>
      </c>
    </row>
  </sheetData>
  <phoneticPr fontId="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81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2" width="9" customWidth="1"/>
    <col min="3" max="3" width="12" customWidth="1"/>
    <col min="4" max="5" width="16" customWidth="1"/>
    <col min="6" max="6" width="11" customWidth="1"/>
    <col min="7" max="7" width="13" customWidth="1"/>
    <col min="8" max="8" width="11" customWidth="1"/>
    <col min="9" max="9" width="13" customWidth="1"/>
    <col min="10" max="10" width="11" customWidth="1"/>
    <col min="11" max="11" width="13" customWidth="1"/>
    <col min="12" max="12" width="11" customWidth="1"/>
    <col min="13" max="13" width="13" customWidth="1"/>
    <col min="14" max="14" width="11" customWidth="1"/>
    <col min="15" max="15" width="13" customWidth="1"/>
    <col min="16" max="16" width="11" customWidth="1"/>
    <col min="17" max="18" width="13" customWidth="1"/>
    <col min="19" max="19" width="10" customWidth="1"/>
    <col min="20" max="20" width="16" customWidth="1"/>
    <col min="21" max="21" width="20" customWidth="1"/>
    <col min="22" max="22" width="12" customWidth="1"/>
    <col min="23" max="23" width="9" customWidth="1"/>
    <col min="24" max="24" width="14" customWidth="1"/>
  </cols>
  <sheetData>
    <row r="1" spans="1:24" ht="32.1" customHeight="1" x14ac:dyDescent="0.3">
      <c r="A1" s="6" t="s">
        <v>11</v>
      </c>
      <c r="B1" s="6" t="s">
        <v>13</v>
      </c>
      <c r="C1" s="6" t="s">
        <v>15</v>
      </c>
      <c r="D1" s="6" t="s">
        <v>31</v>
      </c>
      <c r="E1" s="6" t="s">
        <v>32</v>
      </c>
      <c r="F1" s="8" t="s">
        <v>33</v>
      </c>
      <c r="G1" s="8" t="s">
        <v>34</v>
      </c>
      <c r="H1" s="8" t="s">
        <v>35</v>
      </c>
      <c r="I1" s="8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6" t="s">
        <v>21</v>
      </c>
      <c r="S1" s="9" t="s">
        <v>22</v>
      </c>
      <c r="T1" s="9" t="s">
        <v>24</v>
      </c>
      <c r="U1" s="9" t="s">
        <v>26</v>
      </c>
      <c r="V1" s="10" t="s">
        <v>63</v>
      </c>
      <c r="W1" s="10" t="s">
        <v>64</v>
      </c>
      <c r="X1" s="10" t="s">
        <v>65</v>
      </c>
    </row>
    <row r="2" spans="1:24" x14ac:dyDescent="0.3">
      <c r="A2" s="7"/>
      <c r="B2" s="7"/>
      <c r="C2" s="11"/>
      <c r="D2" s="7"/>
      <c r="E2" s="7"/>
      <c r="F2" s="12"/>
      <c r="G2" s="12"/>
      <c r="H2" s="7"/>
      <c r="I2" s="7"/>
      <c r="J2" s="12"/>
      <c r="K2" s="12"/>
      <c r="L2" s="7"/>
      <c r="M2" s="7"/>
      <c r="N2" s="12"/>
      <c r="O2" s="12"/>
      <c r="P2" s="7"/>
      <c r="Q2" s="7"/>
      <c r="R2" s="7"/>
      <c r="S2" s="13"/>
      <c r="T2" s="14"/>
      <c r="U2" s="15"/>
      <c r="V2" s="16" t="str">
        <f t="shared" ref="V2:V33" si="0">IF(A2="","",IF(A2="결승","PO-FINAL",IF(B2="","번호 없음",IF(A2="PO","PO-"&amp;B2&amp;"M",A2&amp;"-"&amp;B2&amp;"M"))))</f>
        <v/>
      </c>
      <c r="W2" s="16" t="str">
        <f t="shared" ref="W2:W33" si="1">IF(C2="","",IFERROR(CHOOSE(WEEKDAY(C2),"일","월","화","수","목","금","토"),"날짜 확인"))</f>
        <v/>
      </c>
      <c r="X2" s="16" t="str">
        <f t="shared" ref="X2:X33" si="2">IF(COUNTA(A2:R2)=0,"",IF(COUNTBLANK(A2:R2)-IF(A2="결승",IF(B2="",1,0),0)&gt;0,"빈칸 "&amp;(COUNTBLANK(A2:R2)-IF(A2="결승",IF(B2="",1,0),0))&amp;"개",IF(D2=E2,"홈·원정 같음","OK")))</f>
        <v/>
      </c>
    </row>
    <row r="3" spans="1:24" x14ac:dyDescent="0.3">
      <c r="A3" s="7"/>
      <c r="B3" s="7"/>
      <c r="C3" s="11"/>
      <c r="D3" s="7"/>
      <c r="E3" s="7"/>
      <c r="F3" s="12"/>
      <c r="G3" s="12"/>
      <c r="H3" s="7"/>
      <c r="I3" s="7"/>
      <c r="J3" s="12"/>
      <c r="K3" s="12"/>
      <c r="L3" s="7"/>
      <c r="M3" s="7"/>
      <c r="N3" s="12"/>
      <c r="O3" s="12"/>
      <c r="P3" s="7"/>
      <c r="Q3" s="7"/>
      <c r="R3" s="7"/>
      <c r="S3" s="13"/>
      <c r="T3" s="14"/>
      <c r="U3" s="15"/>
      <c r="V3" s="16" t="str">
        <f t="shared" si="0"/>
        <v/>
      </c>
      <c r="W3" s="16" t="str">
        <f t="shared" si="1"/>
        <v/>
      </c>
      <c r="X3" s="16" t="str">
        <f t="shared" si="2"/>
        <v/>
      </c>
    </row>
    <row r="4" spans="1:24" x14ac:dyDescent="0.3">
      <c r="A4" s="7"/>
      <c r="B4" s="7"/>
      <c r="C4" s="11"/>
      <c r="D4" s="7"/>
      <c r="E4" s="7"/>
      <c r="F4" s="12"/>
      <c r="G4" s="12"/>
      <c r="H4" s="7"/>
      <c r="I4" s="7"/>
      <c r="J4" s="12"/>
      <c r="K4" s="12"/>
      <c r="L4" s="7"/>
      <c r="M4" s="7"/>
      <c r="N4" s="12"/>
      <c r="O4" s="12"/>
      <c r="P4" s="7"/>
      <c r="Q4" s="7"/>
      <c r="R4" s="7"/>
      <c r="S4" s="13"/>
      <c r="T4" s="14"/>
      <c r="U4" s="15"/>
      <c r="V4" s="16" t="str">
        <f t="shared" si="0"/>
        <v/>
      </c>
      <c r="W4" s="16" t="str">
        <f t="shared" si="1"/>
        <v/>
      </c>
      <c r="X4" s="16" t="str">
        <f t="shared" si="2"/>
        <v/>
      </c>
    </row>
    <row r="5" spans="1:24" x14ac:dyDescent="0.3">
      <c r="A5" s="7"/>
      <c r="B5" s="7"/>
      <c r="C5" s="11"/>
      <c r="D5" s="7"/>
      <c r="E5" s="7"/>
      <c r="F5" s="12"/>
      <c r="G5" s="12"/>
      <c r="H5" s="7"/>
      <c r="I5" s="7"/>
      <c r="J5" s="12"/>
      <c r="K5" s="12"/>
      <c r="L5" s="7"/>
      <c r="M5" s="7"/>
      <c r="N5" s="12"/>
      <c r="O5" s="12"/>
      <c r="P5" s="7"/>
      <c r="Q5" s="7"/>
      <c r="R5" s="7"/>
      <c r="S5" s="13"/>
      <c r="T5" s="14"/>
      <c r="U5" s="15"/>
      <c r="V5" s="16" t="str">
        <f t="shared" si="0"/>
        <v/>
      </c>
      <c r="W5" s="16" t="str">
        <f t="shared" si="1"/>
        <v/>
      </c>
      <c r="X5" s="16" t="str">
        <f t="shared" si="2"/>
        <v/>
      </c>
    </row>
    <row r="6" spans="1:24" x14ac:dyDescent="0.3">
      <c r="A6" s="7"/>
      <c r="B6" s="7"/>
      <c r="C6" s="11"/>
      <c r="D6" s="7"/>
      <c r="E6" s="7"/>
      <c r="F6" s="12"/>
      <c r="G6" s="12"/>
      <c r="H6" s="7"/>
      <c r="I6" s="7"/>
      <c r="J6" s="12"/>
      <c r="K6" s="12"/>
      <c r="L6" s="7"/>
      <c r="M6" s="7"/>
      <c r="N6" s="12"/>
      <c r="O6" s="12"/>
      <c r="P6" s="7"/>
      <c r="Q6" s="7"/>
      <c r="R6" s="7"/>
      <c r="S6" s="13"/>
      <c r="T6" s="14"/>
      <c r="U6" s="15"/>
      <c r="V6" s="16" t="str">
        <f t="shared" si="0"/>
        <v/>
      </c>
      <c r="W6" s="16" t="str">
        <f t="shared" si="1"/>
        <v/>
      </c>
      <c r="X6" s="16" t="str">
        <f t="shared" si="2"/>
        <v/>
      </c>
    </row>
    <row r="7" spans="1:24" x14ac:dyDescent="0.3">
      <c r="A7" s="7"/>
      <c r="B7" s="7"/>
      <c r="C7" s="11"/>
      <c r="D7" s="7"/>
      <c r="E7" s="7"/>
      <c r="F7" s="12"/>
      <c r="G7" s="12"/>
      <c r="H7" s="7"/>
      <c r="I7" s="7"/>
      <c r="J7" s="12"/>
      <c r="K7" s="12"/>
      <c r="L7" s="7"/>
      <c r="M7" s="7"/>
      <c r="N7" s="12"/>
      <c r="O7" s="12"/>
      <c r="P7" s="7"/>
      <c r="Q7" s="7"/>
      <c r="R7" s="7"/>
      <c r="S7" s="13"/>
      <c r="T7" s="14"/>
      <c r="U7" s="15"/>
      <c r="V7" s="16" t="str">
        <f t="shared" si="0"/>
        <v/>
      </c>
      <c r="W7" s="16" t="str">
        <f t="shared" si="1"/>
        <v/>
      </c>
      <c r="X7" s="16" t="str">
        <f t="shared" si="2"/>
        <v/>
      </c>
    </row>
    <row r="8" spans="1:24" x14ac:dyDescent="0.3">
      <c r="A8" s="7"/>
      <c r="B8" s="7"/>
      <c r="C8" s="11"/>
      <c r="D8" s="7"/>
      <c r="E8" s="7"/>
      <c r="F8" s="12"/>
      <c r="G8" s="12"/>
      <c r="H8" s="7"/>
      <c r="I8" s="7"/>
      <c r="J8" s="12"/>
      <c r="K8" s="12"/>
      <c r="L8" s="7"/>
      <c r="M8" s="7"/>
      <c r="N8" s="12"/>
      <c r="O8" s="12"/>
      <c r="P8" s="7"/>
      <c r="Q8" s="7"/>
      <c r="R8" s="7"/>
      <c r="S8" s="13"/>
      <c r="T8" s="14"/>
      <c r="U8" s="15"/>
      <c r="V8" s="16" t="str">
        <f t="shared" si="0"/>
        <v/>
      </c>
      <c r="W8" s="16" t="str">
        <f t="shared" si="1"/>
        <v/>
      </c>
      <c r="X8" s="16" t="str">
        <f t="shared" si="2"/>
        <v/>
      </c>
    </row>
    <row r="9" spans="1:24" x14ac:dyDescent="0.3">
      <c r="A9" s="7"/>
      <c r="B9" s="7"/>
      <c r="C9" s="11"/>
      <c r="D9" s="7"/>
      <c r="E9" s="7"/>
      <c r="F9" s="12"/>
      <c r="G9" s="12"/>
      <c r="H9" s="7"/>
      <c r="I9" s="7"/>
      <c r="J9" s="12"/>
      <c r="K9" s="12"/>
      <c r="L9" s="7"/>
      <c r="M9" s="7"/>
      <c r="N9" s="12"/>
      <c r="O9" s="12"/>
      <c r="P9" s="7"/>
      <c r="Q9" s="7"/>
      <c r="R9" s="7"/>
      <c r="S9" s="13"/>
      <c r="T9" s="14"/>
      <c r="U9" s="15"/>
      <c r="V9" s="16" t="str">
        <f t="shared" si="0"/>
        <v/>
      </c>
      <c r="W9" s="16" t="str">
        <f t="shared" si="1"/>
        <v/>
      </c>
      <c r="X9" s="16" t="str">
        <f t="shared" si="2"/>
        <v/>
      </c>
    </row>
    <row r="10" spans="1:24" x14ac:dyDescent="0.3">
      <c r="A10" s="7"/>
      <c r="B10" s="7"/>
      <c r="C10" s="11"/>
      <c r="D10" s="7"/>
      <c r="E10" s="7"/>
      <c r="F10" s="12"/>
      <c r="G10" s="12"/>
      <c r="H10" s="7"/>
      <c r="I10" s="7"/>
      <c r="J10" s="12"/>
      <c r="K10" s="12"/>
      <c r="L10" s="7"/>
      <c r="M10" s="7"/>
      <c r="N10" s="12"/>
      <c r="O10" s="12"/>
      <c r="P10" s="7"/>
      <c r="Q10" s="7"/>
      <c r="R10" s="7"/>
      <c r="S10" s="13"/>
      <c r="T10" s="14"/>
      <c r="U10" s="15"/>
      <c r="V10" s="16" t="str">
        <f t="shared" si="0"/>
        <v/>
      </c>
      <c r="W10" s="16" t="str">
        <f t="shared" si="1"/>
        <v/>
      </c>
      <c r="X10" s="16" t="str">
        <f t="shared" si="2"/>
        <v/>
      </c>
    </row>
    <row r="11" spans="1:24" x14ac:dyDescent="0.3">
      <c r="A11" s="7"/>
      <c r="B11" s="7"/>
      <c r="C11" s="11"/>
      <c r="D11" s="7"/>
      <c r="E11" s="7"/>
      <c r="F11" s="12"/>
      <c r="G11" s="12"/>
      <c r="H11" s="7"/>
      <c r="I11" s="7"/>
      <c r="J11" s="12"/>
      <c r="K11" s="12"/>
      <c r="L11" s="7"/>
      <c r="M11" s="7"/>
      <c r="N11" s="12"/>
      <c r="O11" s="12"/>
      <c r="P11" s="7"/>
      <c r="Q11" s="7"/>
      <c r="R11" s="7"/>
      <c r="S11" s="13"/>
      <c r="T11" s="14"/>
      <c r="U11" s="15"/>
      <c r="V11" s="16" t="str">
        <f t="shared" si="0"/>
        <v/>
      </c>
      <c r="W11" s="16" t="str">
        <f t="shared" si="1"/>
        <v/>
      </c>
      <c r="X11" s="16" t="str">
        <f t="shared" si="2"/>
        <v/>
      </c>
    </row>
    <row r="12" spans="1:24" x14ac:dyDescent="0.3">
      <c r="A12" s="7"/>
      <c r="B12" s="7"/>
      <c r="C12" s="11"/>
      <c r="D12" s="7"/>
      <c r="E12" s="7"/>
      <c r="F12" s="12"/>
      <c r="G12" s="12"/>
      <c r="H12" s="7"/>
      <c r="I12" s="7"/>
      <c r="J12" s="12"/>
      <c r="K12" s="12"/>
      <c r="L12" s="7"/>
      <c r="M12" s="7"/>
      <c r="N12" s="12"/>
      <c r="O12" s="12"/>
      <c r="P12" s="7"/>
      <c r="Q12" s="7"/>
      <c r="R12" s="7"/>
      <c r="S12" s="13"/>
      <c r="T12" s="14"/>
      <c r="U12" s="15"/>
      <c r="V12" s="16" t="str">
        <f t="shared" si="0"/>
        <v/>
      </c>
      <c r="W12" s="16" t="str">
        <f t="shared" si="1"/>
        <v/>
      </c>
      <c r="X12" s="16" t="str">
        <f t="shared" si="2"/>
        <v/>
      </c>
    </row>
    <row r="13" spans="1:24" x14ac:dyDescent="0.3">
      <c r="A13" s="7"/>
      <c r="B13" s="7"/>
      <c r="C13" s="11"/>
      <c r="D13" s="7"/>
      <c r="E13" s="7"/>
      <c r="F13" s="12"/>
      <c r="G13" s="12"/>
      <c r="H13" s="7"/>
      <c r="I13" s="7"/>
      <c r="J13" s="12"/>
      <c r="K13" s="12"/>
      <c r="L13" s="7"/>
      <c r="M13" s="7"/>
      <c r="N13" s="12"/>
      <c r="O13" s="12"/>
      <c r="P13" s="7"/>
      <c r="Q13" s="7"/>
      <c r="R13" s="7"/>
      <c r="S13" s="13"/>
      <c r="T13" s="14"/>
      <c r="U13" s="15"/>
      <c r="V13" s="16" t="str">
        <f t="shared" si="0"/>
        <v/>
      </c>
      <c r="W13" s="16" t="str">
        <f t="shared" si="1"/>
        <v/>
      </c>
      <c r="X13" s="16" t="str">
        <f t="shared" si="2"/>
        <v/>
      </c>
    </row>
    <row r="14" spans="1:24" x14ac:dyDescent="0.3">
      <c r="A14" s="7"/>
      <c r="B14" s="7"/>
      <c r="C14" s="11"/>
      <c r="D14" s="7"/>
      <c r="E14" s="7"/>
      <c r="F14" s="12"/>
      <c r="G14" s="12"/>
      <c r="H14" s="7"/>
      <c r="I14" s="7"/>
      <c r="J14" s="12"/>
      <c r="K14" s="12"/>
      <c r="L14" s="7"/>
      <c r="M14" s="7"/>
      <c r="N14" s="12"/>
      <c r="O14" s="12"/>
      <c r="P14" s="7"/>
      <c r="Q14" s="7"/>
      <c r="R14" s="7"/>
      <c r="S14" s="13"/>
      <c r="T14" s="14"/>
      <c r="U14" s="15"/>
      <c r="V14" s="16" t="str">
        <f t="shared" si="0"/>
        <v/>
      </c>
      <c r="W14" s="16" t="str">
        <f t="shared" si="1"/>
        <v/>
      </c>
      <c r="X14" s="16" t="str">
        <f t="shared" si="2"/>
        <v/>
      </c>
    </row>
    <row r="15" spans="1:24" x14ac:dyDescent="0.3">
      <c r="A15" s="7"/>
      <c r="B15" s="7"/>
      <c r="C15" s="11"/>
      <c r="D15" s="7"/>
      <c r="E15" s="7"/>
      <c r="F15" s="12"/>
      <c r="G15" s="12"/>
      <c r="H15" s="7"/>
      <c r="I15" s="7"/>
      <c r="J15" s="12"/>
      <c r="K15" s="12"/>
      <c r="L15" s="7"/>
      <c r="M15" s="7"/>
      <c r="N15" s="12"/>
      <c r="O15" s="12"/>
      <c r="P15" s="7"/>
      <c r="Q15" s="7"/>
      <c r="R15" s="7"/>
      <c r="S15" s="13"/>
      <c r="T15" s="14"/>
      <c r="U15" s="15"/>
      <c r="V15" s="16" t="str">
        <f t="shared" si="0"/>
        <v/>
      </c>
      <c r="W15" s="16" t="str">
        <f t="shared" si="1"/>
        <v/>
      </c>
      <c r="X15" s="16" t="str">
        <f t="shared" si="2"/>
        <v/>
      </c>
    </row>
    <row r="16" spans="1:24" x14ac:dyDescent="0.3">
      <c r="A16" s="7"/>
      <c r="B16" s="7"/>
      <c r="C16" s="11"/>
      <c r="D16" s="7"/>
      <c r="E16" s="7"/>
      <c r="F16" s="12"/>
      <c r="G16" s="12"/>
      <c r="H16" s="7"/>
      <c r="I16" s="7"/>
      <c r="J16" s="12"/>
      <c r="K16" s="12"/>
      <c r="L16" s="7"/>
      <c r="M16" s="7"/>
      <c r="N16" s="12"/>
      <c r="O16" s="12"/>
      <c r="P16" s="7"/>
      <c r="Q16" s="7"/>
      <c r="R16" s="7"/>
      <c r="S16" s="13"/>
      <c r="T16" s="14"/>
      <c r="U16" s="15"/>
      <c r="V16" s="16" t="str">
        <f t="shared" si="0"/>
        <v/>
      </c>
      <c r="W16" s="16" t="str">
        <f t="shared" si="1"/>
        <v/>
      </c>
      <c r="X16" s="16" t="str">
        <f t="shared" si="2"/>
        <v/>
      </c>
    </row>
    <row r="17" spans="1:24" x14ac:dyDescent="0.3">
      <c r="A17" s="7"/>
      <c r="B17" s="7"/>
      <c r="C17" s="11"/>
      <c r="D17" s="7"/>
      <c r="E17" s="7"/>
      <c r="F17" s="12"/>
      <c r="G17" s="12"/>
      <c r="H17" s="7"/>
      <c r="I17" s="7"/>
      <c r="J17" s="12"/>
      <c r="K17" s="12"/>
      <c r="L17" s="7"/>
      <c r="M17" s="7"/>
      <c r="N17" s="12"/>
      <c r="O17" s="12"/>
      <c r="P17" s="7"/>
      <c r="Q17" s="7"/>
      <c r="R17" s="7"/>
      <c r="S17" s="13"/>
      <c r="T17" s="14"/>
      <c r="U17" s="15"/>
      <c r="V17" s="16" t="str">
        <f t="shared" si="0"/>
        <v/>
      </c>
      <c r="W17" s="16" t="str">
        <f t="shared" si="1"/>
        <v/>
      </c>
      <c r="X17" s="16" t="str">
        <f t="shared" si="2"/>
        <v/>
      </c>
    </row>
    <row r="18" spans="1:24" x14ac:dyDescent="0.3">
      <c r="A18" s="7"/>
      <c r="B18" s="7"/>
      <c r="C18" s="11"/>
      <c r="D18" s="7"/>
      <c r="E18" s="7"/>
      <c r="F18" s="12"/>
      <c r="G18" s="12"/>
      <c r="H18" s="7"/>
      <c r="I18" s="7"/>
      <c r="J18" s="12"/>
      <c r="K18" s="12"/>
      <c r="L18" s="7"/>
      <c r="M18" s="7"/>
      <c r="N18" s="12"/>
      <c r="O18" s="12"/>
      <c r="P18" s="7"/>
      <c r="Q18" s="7"/>
      <c r="R18" s="7"/>
      <c r="S18" s="13"/>
      <c r="T18" s="14"/>
      <c r="U18" s="15"/>
      <c r="V18" s="16" t="str">
        <f t="shared" si="0"/>
        <v/>
      </c>
      <c r="W18" s="16" t="str">
        <f t="shared" si="1"/>
        <v/>
      </c>
      <c r="X18" s="16" t="str">
        <f t="shared" si="2"/>
        <v/>
      </c>
    </row>
    <row r="19" spans="1:24" x14ac:dyDescent="0.3">
      <c r="A19" s="7"/>
      <c r="B19" s="7"/>
      <c r="C19" s="11"/>
      <c r="D19" s="7"/>
      <c r="E19" s="7"/>
      <c r="F19" s="12"/>
      <c r="G19" s="12"/>
      <c r="H19" s="7"/>
      <c r="I19" s="7"/>
      <c r="J19" s="12"/>
      <c r="K19" s="12"/>
      <c r="L19" s="7"/>
      <c r="M19" s="7"/>
      <c r="N19" s="12"/>
      <c r="O19" s="12"/>
      <c r="P19" s="7"/>
      <c r="Q19" s="7"/>
      <c r="R19" s="7"/>
      <c r="S19" s="13"/>
      <c r="T19" s="14"/>
      <c r="U19" s="15"/>
      <c r="V19" s="16" t="str">
        <f t="shared" si="0"/>
        <v/>
      </c>
      <c r="W19" s="16" t="str">
        <f t="shared" si="1"/>
        <v/>
      </c>
      <c r="X19" s="16" t="str">
        <f t="shared" si="2"/>
        <v/>
      </c>
    </row>
    <row r="20" spans="1:24" x14ac:dyDescent="0.3">
      <c r="A20" s="7"/>
      <c r="B20" s="7"/>
      <c r="C20" s="11"/>
      <c r="D20" s="7"/>
      <c r="E20" s="7"/>
      <c r="F20" s="12"/>
      <c r="G20" s="12"/>
      <c r="H20" s="7"/>
      <c r="I20" s="7"/>
      <c r="J20" s="12"/>
      <c r="K20" s="12"/>
      <c r="L20" s="7"/>
      <c r="M20" s="7"/>
      <c r="N20" s="12"/>
      <c r="O20" s="12"/>
      <c r="P20" s="7"/>
      <c r="Q20" s="7"/>
      <c r="R20" s="7"/>
      <c r="S20" s="13"/>
      <c r="T20" s="14"/>
      <c r="U20" s="15"/>
      <c r="V20" s="16" t="str">
        <f t="shared" si="0"/>
        <v/>
      </c>
      <c r="W20" s="16" t="str">
        <f t="shared" si="1"/>
        <v/>
      </c>
      <c r="X20" s="16" t="str">
        <f t="shared" si="2"/>
        <v/>
      </c>
    </row>
    <row r="21" spans="1:24" x14ac:dyDescent="0.3">
      <c r="A21" s="7"/>
      <c r="B21" s="7"/>
      <c r="C21" s="11"/>
      <c r="D21" s="7"/>
      <c r="E21" s="7"/>
      <c r="F21" s="12"/>
      <c r="G21" s="12"/>
      <c r="H21" s="7"/>
      <c r="I21" s="7"/>
      <c r="J21" s="12"/>
      <c r="K21" s="12"/>
      <c r="L21" s="7"/>
      <c r="M21" s="7"/>
      <c r="N21" s="12"/>
      <c r="O21" s="12"/>
      <c r="P21" s="7"/>
      <c r="Q21" s="7"/>
      <c r="R21" s="7"/>
      <c r="S21" s="13"/>
      <c r="T21" s="14"/>
      <c r="U21" s="15"/>
      <c r="V21" s="16" t="str">
        <f t="shared" si="0"/>
        <v/>
      </c>
      <c r="W21" s="16" t="str">
        <f t="shared" si="1"/>
        <v/>
      </c>
      <c r="X21" s="16" t="str">
        <f t="shared" si="2"/>
        <v/>
      </c>
    </row>
    <row r="22" spans="1:24" x14ac:dyDescent="0.3">
      <c r="A22" s="7"/>
      <c r="B22" s="7"/>
      <c r="C22" s="11"/>
      <c r="D22" s="7"/>
      <c r="E22" s="7"/>
      <c r="F22" s="12"/>
      <c r="G22" s="12"/>
      <c r="H22" s="7"/>
      <c r="I22" s="7"/>
      <c r="J22" s="12"/>
      <c r="K22" s="12"/>
      <c r="L22" s="7"/>
      <c r="M22" s="7"/>
      <c r="N22" s="12"/>
      <c r="O22" s="12"/>
      <c r="P22" s="7"/>
      <c r="Q22" s="7"/>
      <c r="R22" s="7"/>
      <c r="S22" s="13"/>
      <c r="T22" s="14"/>
      <c r="U22" s="15"/>
      <c r="V22" s="16" t="str">
        <f t="shared" si="0"/>
        <v/>
      </c>
      <c r="W22" s="16" t="str">
        <f t="shared" si="1"/>
        <v/>
      </c>
      <c r="X22" s="16" t="str">
        <f t="shared" si="2"/>
        <v/>
      </c>
    </row>
    <row r="23" spans="1:24" x14ac:dyDescent="0.3">
      <c r="A23" s="7"/>
      <c r="B23" s="7"/>
      <c r="C23" s="11"/>
      <c r="D23" s="7"/>
      <c r="E23" s="7"/>
      <c r="F23" s="12"/>
      <c r="G23" s="12"/>
      <c r="H23" s="7"/>
      <c r="I23" s="7"/>
      <c r="J23" s="12"/>
      <c r="K23" s="12"/>
      <c r="L23" s="7"/>
      <c r="M23" s="7"/>
      <c r="N23" s="12"/>
      <c r="O23" s="12"/>
      <c r="P23" s="7"/>
      <c r="Q23" s="7"/>
      <c r="R23" s="7"/>
      <c r="S23" s="13"/>
      <c r="T23" s="14"/>
      <c r="U23" s="15"/>
      <c r="V23" s="16" t="str">
        <f t="shared" si="0"/>
        <v/>
      </c>
      <c r="W23" s="16" t="str">
        <f t="shared" si="1"/>
        <v/>
      </c>
      <c r="X23" s="16" t="str">
        <f t="shared" si="2"/>
        <v/>
      </c>
    </row>
    <row r="24" spans="1:24" x14ac:dyDescent="0.3">
      <c r="A24" s="7"/>
      <c r="B24" s="7"/>
      <c r="C24" s="11"/>
      <c r="D24" s="7"/>
      <c r="E24" s="7"/>
      <c r="F24" s="12"/>
      <c r="G24" s="12"/>
      <c r="H24" s="7"/>
      <c r="I24" s="7"/>
      <c r="J24" s="12"/>
      <c r="K24" s="12"/>
      <c r="L24" s="7"/>
      <c r="M24" s="7"/>
      <c r="N24" s="12"/>
      <c r="O24" s="12"/>
      <c r="P24" s="7"/>
      <c r="Q24" s="7"/>
      <c r="R24" s="7"/>
      <c r="S24" s="13"/>
      <c r="T24" s="14"/>
      <c r="U24" s="15"/>
      <c r="V24" s="16" t="str">
        <f t="shared" si="0"/>
        <v/>
      </c>
      <c r="W24" s="16" t="str">
        <f t="shared" si="1"/>
        <v/>
      </c>
      <c r="X24" s="16" t="str">
        <f t="shared" si="2"/>
        <v/>
      </c>
    </row>
    <row r="25" spans="1:24" x14ac:dyDescent="0.3">
      <c r="A25" s="7"/>
      <c r="B25" s="7"/>
      <c r="C25" s="11"/>
      <c r="D25" s="7"/>
      <c r="E25" s="7"/>
      <c r="F25" s="12"/>
      <c r="G25" s="12"/>
      <c r="H25" s="7"/>
      <c r="I25" s="7"/>
      <c r="J25" s="12"/>
      <c r="K25" s="12"/>
      <c r="L25" s="7"/>
      <c r="M25" s="7"/>
      <c r="N25" s="12"/>
      <c r="O25" s="12"/>
      <c r="P25" s="7"/>
      <c r="Q25" s="7"/>
      <c r="R25" s="7"/>
      <c r="S25" s="13"/>
      <c r="T25" s="14"/>
      <c r="U25" s="15"/>
      <c r="V25" s="16" t="str">
        <f t="shared" si="0"/>
        <v/>
      </c>
      <c r="W25" s="16" t="str">
        <f t="shared" si="1"/>
        <v/>
      </c>
      <c r="X25" s="16" t="str">
        <f t="shared" si="2"/>
        <v/>
      </c>
    </row>
    <row r="26" spans="1:24" x14ac:dyDescent="0.3">
      <c r="A26" s="7"/>
      <c r="B26" s="7"/>
      <c r="C26" s="11"/>
      <c r="D26" s="7"/>
      <c r="E26" s="7"/>
      <c r="F26" s="12"/>
      <c r="G26" s="12"/>
      <c r="H26" s="7"/>
      <c r="I26" s="7"/>
      <c r="J26" s="12"/>
      <c r="K26" s="12"/>
      <c r="L26" s="7"/>
      <c r="M26" s="7"/>
      <c r="N26" s="12"/>
      <c r="O26" s="12"/>
      <c r="P26" s="7"/>
      <c r="Q26" s="7"/>
      <c r="R26" s="7"/>
      <c r="S26" s="13"/>
      <c r="T26" s="14"/>
      <c r="U26" s="15"/>
      <c r="V26" s="16" t="str">
        <f t="shared" si="0"/>
        <v/>
      </c>
      <c r="W26" s="16" t="str">
        <f t="shared" si="1"/>
        <v/>
      </c>
      <c r="X26" s="16" t="str">
        <f t="shared" si="2"/>
        <v/>
      </c>
    </row>
    <row r="27" spans="1:24" x14ac:dyDescent="0.3">
      <c r="A27" s="7"/>
      <c r="B27" s="7"/>
      <c r="C27" s="11"/>
      <c r="D27" s="7"/>
      <c r="E27" s="7"/>
      <c r="F27" s="12"/>
      <c r="G27" s="12"/>
      <c r="H27" s="7"/>
      <c r="I27" s="7"/>
      <c r="J27" s="12"/>
      <c r="K27" s="12"/>
      <c r="L27" s="7"/>
      <c r="M27" s="7"/>
      <c r="N27" s="12"/>
      <c r="O27" s="12"/>
      <c r="P27" s="7"/>
      <c r="Q27" s="7"/>
      <c r="R27" s="7"/>
      <c r="S27" s="13"/>
      <c r="T27" s="14"/>
      <c r="U27" s="15"/>
      <c r="V27" s="16" t="str">
        <f t="shared" si="0"/>
        <v/>
      </c>
      <c r="W27" s="16" t="str">
        <f t="shared" si="1"/>
        <v/>
      </c>
      <c r="X27" s="16" t="str">
        <f t="shared" si="2"/>
        <v/>
      </c>
    </row>
    <row r="28" spans="1:24" x14ac:dyDescent="0.3">
      <c r="A28" s="7"/>
      <c r="B28" s="7"/>
      <c r="C28" s="11"/>
      <c r="D28" s="7"/>
      <c r="E28" s="7"/>
      <c r="F28" s="12"/>
      <c r="G28" s="12"/>
      <c r="H28" s="7"/>
      <c r="I28" s="7"/>
      <c r="J28" s="12"/>
      <c r="K28" s="12"/>
      <c r="L28" s="7"/>
      <c r="M28" s="7"/>
      <c r="N28" s="12"/>
      <c r="O28" s="12"/>
      <c r="P28" s="7"/>
      <c r="Q28" s="7"/>
      <c r="R28" s="7"/>
      <c r="S28" s="13"/>
      <c r="T28" s="14"/>
      <c r="U28" s="15"/>
      <c r="V28" s="16" t="str">
        <f t="shared" si="0"/>
        <v/>
      </c>
      <c r="W28" s="16" t="str">
        <f t="shared" si="1"/>
        <v/>
      </c>
      <c r="X28" s="16" t="str">
        <f t="shared" si="2"/>
        <v/>
      </c>
    </row>
    <row r="29" spans="1:24" x14ac:dyDescent="0.3">
      <c r="A29" s="7"/>
      <c r="B29" s="7"/>
      <c r="C29" s="11"/>
      <c r="D29" s="7"/>
      <c r="E29" s="7"/>
      <c r="F29" s="12"/>
      <c r="G29" s="12"/>
      <c r="H29" s="7"/>
      <c r="I29" s="7"/>
      <c r="J29" s="12"/>
      <c r="K29" s="12"/>
      <c r="L29" s="7"/>
      <c r="M29" s="7"/>
      <c r="N29" s="12"/>
      <c r="O29" s="12"/>
      <c r="P29" s="7"/>
      <c r="Q29" s="7"/>
      <c r="R29" s="7"/>
      <c r="S29" s="13"/>
      <c r="T29" s="14"/>
      <c r="U29" s="15"/>
      <c r="V29" s="16" t="str">
        <f t="shared" si="0"/>
        <v/>
      </c>
      <c r="W29" s="16" t="str">
        <f t="shared" si="1"/>
        <v/>
      </c>
      <c r="X29" s="16" t="str">
        <f t="shared" si="2"/>
        <v/>
      </c>
    </row>
    <row r="30" spans="1:24" x14ac:dyDescent="0.3">
      <c r="A30" s="7"/>
      <c r="B30" s="7"/>
      <c r="C30" s="11"/>
      <c r="D30" s="7"/>
      <c r="E30" s="7"/>
      <c r="F30" s="12"/>
      <c r="G30" s="12"/>
      <c r="H30" s="7"/>
      <c r="I30" s="7"/>
      <c r="J30" s="12"/>
      <c r="K30" s="12"/>
      <c r="L30" s="7"/>
      <c r="M30" s="7"/>
      <c r="N30" s="12"/>
      <c r="O30" s="12"/>
      <c r="P30" s="7"/>
      <c r="Q30" s="7"/>
      <c r="R30" s="7"/>
      <c r="S30" s="13"/>
      <c r="T30" s="14"/>
      <c r="U30" s="15"/>
      <c r="V30" s="16" t="str">
        <f t="shared" si="0"/>
        <v/>
      </c>
      <c r="W30" s="16" t="str">
        <f t="shared" si="1"/>
        <v/>
      </c>
      <c r="X30" s="16" t="str">
        <f t="shared" si="2"/>
        <v/>
      </c>
    </row>
    <row r="31" spans="1:24" x14ac:dyDescent="0.3">
      <c r="A31" s="7"/>
      <c r="B31" s="7"/>
      <c r="C31" s="11"/>
      <c r="D31" s="7"/>
      <c r="E31" s="7"/>
      <c r="F31" s="12"/>
      <c r="G31" s="12"/>
      <c r="H31" s="7"/>
      <c r="I31" s="7"/>
      <c r="J31" s="12"/>
      <c r="K31" s="12"/>
      <c r="L31" s="7"/>
      <c r="M31" s="7"/>
      <c r="N31" s="12"/>
      <c r="O31" s="12"/>
      <c r="P31" s="7"/>
      <c r="Q31" s="7"/>
      <c r="R31" s="7"/>
      <c r="S31" s="13"/>
      <c r="T31" s="14"/>
      <c r="U31" s="15"/>
      <c r="V31" s="16" t="str">
        <f t="shared" si="0"/>
        <v/>
      </c>
      <c r="W31" s="16" t="str">
        <f t="shared" si="1"/>
        <v/>
      </c>
      <c r="X31" s="16" t="str">
        <f t="shared" si="2"/>
        <v/>
      </c>
    </row>
    <row r="32" spans="1:24" x14ac:dyDescent="0.3">
      <c r="A32" s="7"/>
      <c r="B32" s="7"/>
      <c r="C32" s="11"/>
      <c r="D32" s="7"/>
      <c r="E32" s="7"/>
      <c r="F32" s="12"/>
      <c r="G32" s="12"/>
      <c r="H32" s="7"/>
      <c r="I32" s="7"/>
      <c r="J32" s="12"/>
      <c r="K32" s="12"/>
      <c r="L32" s="7"/>
      <c r="M32" s="7"/>
      <c r="N32" s="12"/>
      <c r="O32" s="12"/>
      <c r="P32" s="7"/>
      <c r="Q32" s="7"/>
      <c r="R32" s="7"/>
      <c r="S32" s="13"/>
      <c r="T32" s="14"/>
      <c r="U32" s="15"/>
      <c r="V32" s="16" t="str">
        <f t="shared" si="0"/>
        <v/>
      </c>
      <c r="W32" s="16" t="str">
        <f t="shared" si="1"/>
        <v/>
      </c>
      <c r="X32" s="16" t="str">
        <f t="shared" si="2"/>
        <v/>
      </c>
    </row>
    <row r="33" spans="1:24" x14ac:dyDescent="0.3">
      <c r="A33" s="7"/>
      <c r="B33" s="7"/>
      <c r="C33" s="11"/>
      <c r="D33" s="7"/>
      <c r="E33" s="7"/>
      <c r="F33" s="12"/>
      <c r="G33" s="12"/>
      <c r="H33" s="7"/>
      <c r="I33" s="7"/>
      <c r="J33" s="12"/>
      <c r="K33" s="12"/>
      <c r="L33" s="7"/>
      <c r="M33" s="7"/>
      <c r="N33" s="12"/>
      <c r="O33" s="12"/>
      <c r="P33" s="7"/>
      <c r="Q33" s="7"/>
      <c r="R33" s="7"/>
      <c r="S33" s="13"/>
      <c r="T33" s="14"/>
      <c r="U33" s="15"/>
      <c r="V33" s="16" t="str">
        <f t="shared" si="0"/>
        <v/>
      </c>
      <c r="W33" s="16" t="str">
        <f t="shared" si="1"/>
        <v/>
      </c>
      <c r="X33" s="16" t="str">
        <f t="shared" si="2"/>
        <v/>
      </c>
    </row>
    <row r="34" spans="1:24" x14ac:dyDescent="0.3">
      <c r="A34" s="7"/>
      <c r="B34" s="7"/>
      <c r="C34" s="11"/>
      <c r="D34" s="7"/>
      <c r="E34" s="7"/>
      <c r="F34" s="12"/>
      <c r="G34" s="12"/>
      <c r="H34" s="7"/>
      <c r="I34" s="7"/>
      <c r="J34" s="12"/>
      <c r="K34" s="12"/>
      <c r="L34" s="7"/>
      <c r="M34" s="7"/>
      <c r="N34" s="12"/>
      <c r="O34" s="12"/>
      <c r="P34" s="7"/>
      <c r="Q34" s="7"/>
      <c r="R34" s="7"/>
      <c r="S34" s="13"/>
      <c r="T34" s="14"/>
      <c r="U34" s="15"/>
      <c r="V34" s="16" t="str">
        <f t="shared" ref="V34:V65" si="3">IF(A34="","",IF(A34="결승","PO-FINAL",IF(B34="","번호 없음",IF(A34="PO","PO-"&amp;B34&amp;"M",A34&amp;"-"&amp;B34&amp;"M"))))</f>
        <v/>
      </c>
      <c r="W34" s="16" t="str">
        <f t="shared" ref="W34:W65" si="4">IF(C34="","",IFERROR(CHOOSE(WEEKDAY(C34),"일","월","화","수","목","금","토"),"날짜 확인"))</f>
        <v/>
      </c>
      <c r="X34" s="16" t="str">
        <f t="shared" ref="X34:X65" si="5">IF(COUNTA(A34:R34)=0,"",IF(COUNTBLANK(A34:R34)-IF(A34="결승",IF(B34="",1,0),0)&gt;0,"빈칸 "&amp;(COUNTBLANK(A34:R34)-IF(A34="결승",IF(B34="",1,0),0))&amp;"개",IF(D34=E34,"홈·원정 같음","OK")))</f>
        <v/>
      </c>
    </row>
    <row r="35" spans="1:24" x14ac:dyDescent="0.3">
      <c r="A35" s="7"/>
      <c r="B35" s="7"/>
      <c r="C35" s="11"/>
      <c r="D35" s="7"/>
      <c r="E35" s="7"/>
      <c r="F35" s="12"/>
      <c r="G35" s="12"/>
      <c r="H35" s="7"/>
      <c r="I35" s="7"/>
      <c r="J35" s="12"/>
      <c r="K35" s="12"/>
      <c r="L35" s="7"/>
      <c r="M35" s="7"/>
      <c r="N35" s="12"/>
      <c r="O35" s="12"/>
      <c r="P35" s="7"/>
      <c r="Q35" s="7"/>
      <c r="R35" s="7"/>
      <c r="S35" s="13"/>
      <c r="T35" s="14"/>
      <c r="U35" s="15"/>
      <c r="V35" s="16" t="str">
        <f t="shared" si="3"/>
        <v/>
      </c>
      <c r="W35" s="16" t="str">
        <f t="shared" si="4"/>
        <v/>
      </c>
      <c r="X35" s="16" t="str">
        <f t="shared" si="5"/>
        <v/>
      </c>
    </row>
    <row r="36" spans="1:24" x14ac:dyDescent="0.3">
      <c r="A36" s="7"/>
      <c r="B36" s="7"/>
      <c r="C36" s="11"/>
      <c r="D36" s="7"/>
      <c r="E36" s="7"/>
      <c r="F36" s="12"/>
      <c r="G36" s="12"/>
      <c r="H36" s="7"/>
      <c r="I36" s="7"/>
      <c r="J36" s="12"/>
      <c r="K36" s="12"/>
      <c r="L36" s="7"/>
      <c r="M36" s="7"/>
      <c r="N36" s="12"/>
      <c r="O36" s="12"/>
      <c r="P36" s="7"/>
      <c r="Q36" s="7"/>
      <c r="R36" s="7"/>
      <c r="S36" s="13"/>
      <c r="T36" s="14"/>
      <c r="U36" s="15"/>
      <c r="V36" s="16" t="str">
        <f t="shared" si="3"/>
        <v/>
      </c>
      <c r="W36" s="16" t="str">
        <f t="shared" si="4"/>
        <v/>
      </c>
      <c r="X36" s="16" t="str">
        <f t="shared" si="5"/>
        <v/>
      </c>
    </row>
    <row r="37" spans="1:24" x14ac:dyDescent="0.3">
      <c r="A37" s="7"/>
      <c r="B37" s="7"/>
      <c r="C37" s="11"/>
      <c r="D37" s="7"/>
      <c r="E37" s="7"/>
      <c r="F37" s="12"/>
      <c r="G37" s="12"/>
      <c r="H37" s="7"/>
      <c r="I37" s="7"/>
      <c r="J37" s="12"/>
      <c r="K37" s="12"/>
      <c r="L37" s="7"/>
      <c r="M37" s="7"/>
      <c r="N37" s="12"/>
      <c r="O37" s="12"/>
      <c r="P37" s="7"/>
      <c r="Q37" s="7"/>
      <c r="R37" s="7"/>
      <c r="S37" s="13"/>
      <c r="T37" s="14"/>
      <c r="U37" s="15"/>
      <c r="V37" s="16" t="str">
        <f t="shared" si="3"/>
        <v/>
      </c>
      <c r="W37" s="16" t="str">
        <f t="shared" si="4"/>
        <v/>
      </c>
      <c r="X37" s="16" t="str">
        <f t="shared" si="5"/>
        <v/>
      </c>
    </row>
    <row r="38" spans="1:24" x14ac:dyDescent="0.3">
      <c r="A38" s="7"/>
      <c r="B38" s="7"/>
      <c r="C38" s="11"/>
      <c r="D38" s="7"/>
      <c r="E38" s="7"/>
      <c r="F38" s="12"/>
      <c r="G38" s="12"/>
      <c r="H38" s="7"/>
      <c r="I38" s="7"/>
      <c r="J38" s="12"/>
      <c r="K38" s="12"/>
      <c r="L38" s="7"/>
      <c r="M38" s="7"/>
      <c r="N38" s="12"/>
      <c r="O38" s="12"/>
      <c r="P38" s="7"/>
      <c r="Q38" s="7"/>
      <c r="R38" s="7"/>
      <c r="S38" s="13"/>
      <c r="T38" s="14"/>
      <c r="U38" s="15"/>
      <c r="V38" s="16" t="str">
        <f t="shared" si="3"/>
        <v/>
      </c>
      <c r="W38" s="16" t="str">
        <f t="shared" si="4"/>
        <v/>
      </c>
      <c r="X38" s="16" t="str">
        <f t="shared" si="5"/>
        <v/>
      </c>
    </row>
    <row r="39" spans="1:24" x14ac:dyDescent="0.3">
      <c r="A39" s="7"/>
      <c r="B39" s="7"/>
      <c r="C39" s="11"/>
      <c r="D39" s="7"/>
      <c r="E39" s="7"/>
      <c r="F39" s="12"/>
      <c r="G39" s="12"/>
      <c r="H39" s="7"/>
      <c r="I39" s="7"/>
      <c r="J39" s="12"/>
      <c r="K39" s="12"/>
      <c r="L39" s="7"/>
      <c r="M39" s="7"/>
      <c r="N39" s="12"/>
      <c r="O39" s="12"/>
      <c r="P39" s="7"/>
      <c r="Q39" s="7"/>
      <c r="R39" s="7"/>
      <c r="S39" s="13"/>
      <c r="T39" s="14"/>
      <c r="U39" s="15"/>
      <c r="V39" s="16" t="str">
        <f t="shared" si="3"/>
        <v/>
      </c>
      <c r="W39" s="16" t="str">
        <f t="shared" si="4"/>
        <v/>
      </c>
      <c r="X39" s="16" t="str">
        <f t="shared" si="5"/>
        <v/>
      </c>
    </row>
    <row r="40" spans="1:24" x14ac:dyDescent="0.3">
      <c r="A40" s="7"/>
      <c r="B40" s="7"/>
      <c r="C40" s="11"/>
      <c r="D40" s="7"/>
      <c r="E40" s="7"/>
      <c r="F40" s="12"/>
      <c r="G40" s="12"/>
      <c r="H40" s="7"/>
      <c r="I40" s="7"/>
      <c r="J40" s="12"/>
      <c r="K40" s="12"/>
      <c r="L40" s="7"/>
      <c r="M40" s="7"/>
      <c r="N40" s="12"/>
      <c r="O40" s="12"/>
      <c r="P40" s="7"/>
      <c r="Q40" s="7"/>
      <c r="R40" s="7"/>
      <c r="S40" s="13"/>
      <c r="T40" s="14"/>
      <c r="U40" s="15"/>
      <c r="V40" s="16" t="str">
        <f t="shared" si="3"/>
        <v/>
      </c>
      <c r="W40" s="16" t="str">
        <f t="shared" si="4"/>
        <v/>
      </c>
      <c r="X40" s="16" t="str">
        <f t="shared" si="5"/>
        <v/>
      </c>
    </row>
    <row r="41" spans="1:24" x14ac:dyDescent="0.3">
      <c r="A41" s="7"/>
      <c r="B41" s="7"/>
      <c r="C41" s="11"/>
      <c r="D41" s="7"/>
      <c r="E41" s="7"/>
      <c r="F41" s="12"/>
      <c r="G41" s="12"/>
      <c r="H41" s="7"/>
      <c r="I41" s="7"/>
      <c r="J41" s="12"/>
      <c r="K41" s="12"/>
      <c r="L41" s="7"/>
      <c r="M41" s="7"/>
      <c r="N41" s="12"/>
      <c r="O41" s="12"/>
      <c r="P41" s="7"/>
      <c r="Q41" s="7"/>
      <c r="R41" s="7"/>
      <c r="S41" s="13"/>
      <c r="T41" s="14"/>
      <c r="U41" s="15"/>
      <c r="V41" s="16" t="str">
        <f t="shared" si="3"/>
        <v/>
      </c>
      <c r="W41" s="16" t="str">
        <f t="shared" si="4"/>
        <v/>
      </c>
      <c r="X41" s="16" t="str">
        <f t="shared" si="5"/>
        <v/>
      </c>
    </row>
    <row r="42" spans="1:24" x14ac:dyDescent="0.3">
      <c r="A42" s="7"/>
      <c r="B42" s="7"/>
      <c r="C42" s="11"/>
      <c r="D42" s="7"/>
      <c r="E42" s="7"/>
      <c r="F42" s="12"/>
      <c r="G42" s="12"/>
      <c r="H42" s="7"/>
      <c r="I42" s="7"/>
      <c r="J42" s="12"/>
      <c r="K42" s="12"/>
      <c r="L42" s="7"/>
      <c r="M42" s="7"/>
      <c r="N42" s="12"/>
      <c r="O42" s="12"/>
      <c r="P42" s="7"/>
      <c r="Q42" s="7"/>
      <c r="R42" s="7"/>
      <c r="S42" s="13"/>
      <c r="T42" s="14"/>
      <c r="U42" s="15"/>
      <c r="V42" s="16" t="str">
        <f t="shared" si="3"/>
        <v/>
      </c>
      <c r="W42" s="16" t="str">
        <f t="shared" si="4"/>
        <v/>
      </c>
      <c r="X42" s="16" t="str">
        <f t="shared" si="5"/>
        <v/>
      </c>
    </row>
    <row r="43" spans="1:24" x14ac:dyDescent="0.3">
      <c r="A43" s="7"/>
      <c r="B43" s="7"/>
      <c r="C43" s="11"/>
      <c r="D43" s="7"/>
      <c r="E43" s="7"/>
      <c r="F43" s="12"/>
      <c r="G43" s="12"/>
      <c r="H43" s="7"/>
      <c r="I43" s="7"/>
      <c r="J43" s="12"/>
      <c r="K43" s="12"/>
      <c r="L43" s="7"/>
      <c r="M43" s="7"/>
      <c r="N43" s="12"/>
      <c r="O43" s="12"/>
      <c r="P43" s="7"/>
      <c r="Q43" s="7"/>
      <c r="R43" s="7"/>
      <c r="S43" s="13"/>
      <c r="T43" s="14"/>
      <c r="U43" s="15"/>
      <c r="V43" s="16" t="str">
        <f t="shared" si="3"/>
        <v/>
      </c>
      <c r="W43" s="16" t="str">
        <f t="shared" si="4"/>
        <v/>
      </c>
      <c r="X43" s="16" t="str">
        <f t="shared" si="5"/>
        <v/>
      </c>
    </row>
    <row r="44" spans="1:24" x14ac:dyDescent="0.3">
      <c r="A44" s="7"/>
      <c r="B44" s="7"/>
      <c r="C44" s="11"/>
      <c r="D44" s="7"/>
      <c r="E44" s="7"/>
      <c r="F44" s="12"/>
      <c r="G44" s="12"/>
      <c r="H44" s="7"/>
      <c r="I44" s="7"/>
      <c r="J44" s="12"/>
      <c r="K44" s="12"/>
      <c r="L44" s="7"/>
      <c r="M44" s="7"/>
      <c r="N44" s="12"/>
      <c r="O44" s="12"/>
      <c r="P44" s="7"/>
      <c r="Q44" s="7"/>
      <c r="R44" s="7"/>
      <c r="S44" s="13"/>
      <c r="T44" s="14"/>
      <c r="U44" s="15"/>
      <c r="V44" s="16" t="str">
        <f t="shared" si="3"/>
        <v/>
      </c>
      <c r="W44" s="16" t="str">
        <f t="shared" si="4"/>
        <v/>
      </c>
      <c r="X44" s="16" t="str">
        <f t="shared" si="5"/>
        <v/>
      </c>
    </row>
    <row r="45" spans="1:24" x14ac:dyDescent="0.3">
      <c r="A45" s="7"/>
      <c r="B45" s="7"/>
      <c r="C45" s="11"/>
      <c r="D45" s="7"/>
      <c r="E45" s="7"/>
      <c r="F45" s="12"/>
      <c r="G45" s="12"/>
      <c r="H45" s="7"/>
      <c r="I45" s="7"/>
      <c r="J45" s="12"/>
      <c r="K45" s="12"/>
      <c r="L45" s="7"/>
      <c r="M45" s="7"/>
      <c r="N45" s="12"/>
      <c r="O45" s="12"/>
      <c r="P45" s="7"/>
      <c r="Q45" s="7"/>
      <c r="R45" s="7"/>
      <c r="S45" s="13"/>
      <c r="T45" s="14"/>
      <c r="U45" s="15"/>
      <c r="V45" s="16" t="str">
        <f t="shared" si="3"/>
        <v/>
      </c>
      <c r="W45" s="16" t="str">
        <f t="shared" si="4"/>
        <v/>
      </c>
      <c r="X45" s="16" t="str">
        <f t="shared" si="5"/>
        <v/>
      </c>
    </row>
    <row r="46" spans="1:24" x14ac:dyDescent="0.3">
      <c r="A46" s="7"/>
      <c r="B46" s="7"/>
      <c r="C46" s="11"/>
      <c r="D46" s="7"/>
      <c r="E46" s="7"/>
      <c r="F46" s="12"/>
      <c r="G46" s="12"/>
      <c r="H46" s="7"/>
      <c r="I46" s="7"/>
      <c r="J46" s="12"/>
      <c r="K46" s="12"/>
      <c r="L46" s="7"/>
      <c r="M46" s="7"/>
      <c r="N46" s="12"/>
      <c r="O46" s="12"/>
      <c r="P46" s="7"/>
      <c r="Q46" s="7"/>
      <c r="R46" s="7"/>
      <c r="S46" s="13"/>
      <c r="T46" s="14"/>
      <c r="U46" s="15"/>
      <c r="V46" s="16" t="str">
        <f t="shared" si="3"/>
        <v/>
      </c>
      <c r="W46" s="16" t="str">
        <f t="shared" si="4"/>
        <v/>
      </c>
      <c r="X46" s="16" t="str">
        <f t="shared" si="5"/>
        <v/>
      </c>
    </row>
    <row r="47" spans="1:24" x14ac:dyDescent="0.3">
      <c r="A47" s="7"/>
      <c r="B47" s="7"/>
      <c r="C47" s="11"/>
      <c r="D47" s="7"/>
      <c r="E47" s="7"/>
      <c r="F47" s="12"/>
      <c r="G47" s="12"/>
      <c r="H47" s="7"/>
      <c r="I47" s="7"/>
      <c r="J47" s="12"/>
      <c r="K47" s="12"/>
      <c r="L47" s="7"/>
      <c r="M47" s="7"/>
      <c r="N47" s="12"/>
      <c r="O47" s="12"/>
      <c r="P47" s="7"/>
      <c r="Q47" s="7"/>
      <c r="R47" s="7"/>
      <c r="S47" s="13"/>
      <c r="T47" s="14"/>
      <c r="U47" s="15"/>
      <c r="V47" s="16" t="str">
        <f t="shared" si="3"/>
        <v/>
      </c>
      <c r="W47" s="16" t="str">
        <f t="shared" si="4"/>
        <v/>
      </c>
      <c r="X47" s="16" t="str">
        <f t="shared" si="5"/>
        <v/>
      </c>
    </row>
    <row r="48" spans="1:24" x14ac:dyDescent="0.3">
      <c r="A48" s="7"/>
      <c r="B48" s="7"/>
      <c r="C48" s="11"/>
      <c r="D48" s="7"/>
      <c r="E48" s="7"/>
      <c r="F48" s="12"/>
      <c r="G48" s="12"/>
      <c r="H48" s="7"/>
      <c r="I48" s="7"/>
      <c r="J48" s="12"/>
      <c r="K48" s="12"/>
      <c r="L48" s="7"/>
      <c r="M48" s="7"/>
      <c r="N48" s="12"/>
      <c r="O48" s="12"/>
      <c r="P48" s="7"/>
      <c r="Q48" s="7"/>
      <c r="R48" s="7"/>
      <c r="S48" s="13"/>
      <c r="T48" s="14"/>
      <c r="U48" s="15"/>
      <c r="V48" s="16" t="str">
        <f t="shared" si="3"/>
        <v/>
      </c>
      <c r="W48" s="16" t="str">
        <f t="shared" si="4"/>
        <v/>
      </c>
      <c r="X48" s="16" t="str">
        <f t="shared" si="5"/>
        <v/>
      </c>
    </row>
    <row r="49" spans="1:24" x14ac:dyDescent="0.3">
      <c r="A49" s="7"/>
      <c r="B49" s="7"/>
      <c r="C49" s="11"/>
      <c r="D49" s="7"/>
      <c r="E49" s="7"/>
      <c r="F49" s="12"/>
      <c r="G49" s="12"/>
      <c r="H49" s="7"/>
      <c r="I49" s="7"/>
      <c r="J49" s="12"/>
      <c r="K49" s="12"/>
      <c r="L49" s="7"/>
      <c r="M49" s="7"/>
      <c r="N49" s="12"/>
      <c r="O49" s="12"/>
      <c r="P49" s="7"/>
      <c r="Q49" s="7"/>
      <c r="R49" s="7"/>
      <c r="S49" s="13"/>
      <c r="T49" s="14"/>
      <c r="U49" s="15"/>
      <c r="V49" s="16" t="str">
        <f t="shared" si="3"/>
        <v/>
      </c>
      <c r="W49" s="16" t="str">
        <f t="shared" si="4"/>
        <v/>
      </c>
      <c r="X49" s="16" t="str">
        <f t="shared" si="5"/>
        <v/>
      </c>
    </row>
    <row r="50" spans="1:24" x14ac:dyDescent="0.3">
      <c r="A50" s="7"/>
      <c r="B50" s="7"/>
      <c r="C50" s="11"/>
      <c r="D50" s="7"/>
      <c r="E50" s="7"/>
      <c r="F50" s="12"/>
      <c r="G50" s="12"/>
      <c r="H50" s="7"/>
      <c r="I50" s="7"/>
      <c r="J50" s="12"/>
      <c r="K50" s="12"/>
      <c r="L50" s="7"/>
      <c r="M50" s="7"/>
      <c r="N50" s="12"/>
      <c r="O50" s="12"/>
      <c r="P50" s="7"/>
      <c r="Q50" s="7"/>
      <c r="R50" s="7"/>
      <c r="S50" s="13"/>
      <c r="T50" s="14"/>
      <c r="U50" s="15"/>
      <c r="V50" s="16" t="str">
        <f t="shared" si="3"/>
        <v/>
      </c>
      <c r="W50" s="16" t="str">
        <f t="shared" si="4"/>
        <v/>
      </c>
      <c r="X50" s="16" t="str">
        <f t="shared" si="5"/>
        <v/>
      </c>
    </row>
    <row r="51" spans="1:24" x14ac:dyDescent="0.3">
      <c r="A51" s="7"/>
      <c r="B51" s="7"/>
      <c r="C51" s="11"/>
      <c r="D51" s="7"/>
      <c r="E51" s="7"/>
      <c r="F51" s="12"/>
      <c r="G51" s="12"/>
      <c r="H51" s="7"/>
      <c r="I51" s="7"/>
      <c r="J51" s="12"/>
      <c r="K51" s="12"/>
      <c r="L51" s="7"/>
      <c r="M51" s="7"/>
      <c r="N51" s="12"/>
      <c r="O51" s="12"/>
      <c r="P51" s="7"/>
      <c r="Q51" s="7"/>
      <c r="R51" s="7"/>
      <c r="S51" s="13"/>
      <c r="T51" s="14"/>
      <c r="U51" s="15"/>
      <c r="V51" s="16" t="str">
        <f t="shared" si="3"/>
        <v/>
      </c>
      <c r="W51" s="16" t="str">
        <f t="shared" si="4"/>
        <v/>
      </c>
      <c r="X51" s="16" t="str">
        <f t="shared" si="5"/>
        <v/>
      </c>
    </row>
    <row r="52" spans="1:24" x14ac:dyDescent="0.3">
      <c r="A52" s="7"/>
      <c r="B52" s="7"/>
      <c r="C52" s="11"/>
      <c r="D52" s="7"/>
      <c r="E52" s="7"/>
      <c r="F52" s="12"/>
      <c r="G52" s="12"/>
      <c r="H52" s="7"/>
      <c r="I52" s="7"/>
      <c r="J52" s="12"/>
      <c r="K52" s="12"/>
      <c r="L52" s="7"/>
      <c r="M52" s="7"/>
      <c r="N52" s="12"/>
      <c r="O52" s="12"/>
      <c r="P52" s="7"/>
      <c r="Q52" s="7"/>
      <c r="R52" s="7"/>
      <c r="S52" s="13"/>
      <c r="T52" s="14"/>
      <c r="U52" s="15"/>
      <c r="V52" s="16" t="str">
        <f t="shared" si="3"/>
        <v/>
      </c>
      <c r="W52" s="16" t="str">
        <f t="shared" si="4"/>
        <v/>
      </c>
      <c r="X52" s="16" t="str">
        <f t="shared" si="5"/>
        <v/>
      </c>
    </row>
    <row r="53" spans="1:24" x14ac:dyDescent="0.3">
      <c r="A53" s="7"/>
      <c r="B53" s="7"/>
      <c r="C53" s="11"/>
      <c r="D53" s="7"/>
      <c r="E53" s="7"/>
      <c r="F53" s="12"/>
      <c r="G53" s="12"/>
      <c r="H53" s="7"/>
      <c r="I53" s="7"/>
      <c r="J53" s="12"/>
      <c r="K53" s="12"/>
      <c r="L53" s="7"/>
      <c r="M53" s="7"/>
      <c r="N53" s="12"/>
      <c r="O53" s="12"/>
      <c r="P53" s="7"/>
      <c r="Q53" s="7"/>
      <c r="R53" s="7"/>
      <c r="S53" s="13"/>
      <c r="T53" s="14"/>
      <c r="U53" s="15"/>
      <c r="V53" s="16" t="str">
        <f t="shared" si="3"/>
        <v/>
      </c>
      <c r="W53" s="16" t="str">
        <f t="shared" si="4"/>
        <v/>
      </c>
      <c r="X53" s="16" t="str">
        <f t="shared" si="5"/>
        <v/>
      </c>
    </row>
    <row r="54" spans="1:24" x14ac:dyDescent="0.3">
      <c r="A54" s="7"/>
      <c r="B54" s="7"/>
      <c r="C54" s="11"/>
      <c r="D54" s="7"/>
      <c r="E54" s="7"/>
      <c r="F54" s="12"/>
      <c r="G54" s="12"/>
      <c r="H54" s="7"/>
      <c r="I54" s="7"/>
      <c r="J54" s="12"/>
      <c r="K54" s="12"/>
      <c r="L54" s="7"/>
      <c r="M54" s="7"/>
      <c r="N54" s="12"/>
      <c r="O54" s="12"/>
      <c r="P54" s="7"/>
      <c r="Q54" s="7"/>
      <c r="R54" s="7"/>
      <c r="S54" s="13"/>
      <c r="T54" s="14"/>
      <c r="U54" s="15"/>
      <c r="V54" s="16" t="str">
        <f t="shared" si="3"/>
        <v/>
      </c>
      <c r="W54" s="16" t="str">
        <f t="shared" si="4"/>
        <v/>
      </c>
      <c r="X54" s="16" t="str">
        <f t="shared" si="5"/>
        <v/>
      </c>
    </row>
    <row r="55" spans="1:24" x14ac:dyDescent="0.3">
      <c r="A55" s="7"/>
      <c r="B55" s="7"/>
      <c r="C55" s="11"/>
      <c r="D55" s="7"/>
      <c r="E55" s="7"/>
      <c r="F55" s="12"/>
      <c r="G55" s="12"/>
      <c r="H55" s="7"/>
      <c r="I55" s="7"/>
      <c r="J55" s="12"/>
      <c r="K55" s="12"/>
      <c r="L55" s="7"/>
      <c r="M55" s="7"/>
      <c r="N55" s="12"/>
      <c r="O55" s="12"/>
      <c r="P55" s="7"/>
      <c r="Q55" s="7"/>
      <c r="R55" s="7"/>
      <c r="S55" s="13"/>
      <c r="T55" s="14"/>
      <c r="U55" s="15"/>
      <c r="V55" s="16" t="str">
        <f t="shared" si="3"/>
        <v/>
      </c>
      <c r="W55" s="16" t="str">
        <f t="shared" si="4"/>
        <v/>
      </c>
      <c r="X55" s="16" t="str">
        <f t="shared" si="5"/>
        <v/>
      </c>
    </row>
    <row r="56" spans="1:24" x14ac:dyDescent="0.3">
      <c r="A56" s="7"/>
      <c r="B56" s="7"/>
      <c r="C56" s="11"/>
      <c r="D56" s="7"/>
      <c r="E56" s="7"/>
      <c r="F56" s="12"/>
      <c r="G56" s="12"/>
      <c r="H56" s="7"/>
      <c r="I56" s="7"/>
      <c r="J56" s="12"/>
      <c r="K56" s="12"/>
      <c r="L56" s="7"/>
      <c r="M56" s="7"/>
      <c r="N56" s="12"/>
      <c r="O56" s="12"/>
      <c r="P56" s="7"/>
      <c r="Q56" s="7"/>
      <c r="R56" s="7"/>
      <c r="S56" s="13"/>
      <c r="T56" s="14"/>
      <c r="U56" s="15"/>
      <c r="V56" s="16" t="str">
        <f t="shared" si="3"/>
        <v/>
      </c>
      <c r="W56" s="16" t="str">
        <f t="shared" si="4"/>
        <v/>
      </c>
      <c r="X56" s="16" t="str">
        <f t="shared" si="5"/>
        <v/>
      </c>
    </row>
    <row r="57" spans="1:24" x14ac:dyDescent="0.3">
      <c r="A57" s="7"/>
      <c r="B57" s="7"/>
      <c r="C57" s="11"/>
      <c r="D57" s="7"/>
      <c r="E57" s="7"/>
      <c r="F57" s="12"/>
      <c r="G57" s="12"/>
      <c r="H57" s="7"/>
      <c r="I57" s="7"/>
      <c r="J57" s="12"/>
      <c r="K57" s="12"/>
      <c r="L57" s="7"/>
      <c r="M57" s="7"/>
      <c r="N57" s="12"/>
      <c r="O57" s="12"/>
      <c r="P57" s="7"/>
      <c r="Q57" s="7"/>
      <c r="R57" s="7"/>
      <c r="S57" s="13"/>
      <c r="T57" s="14"/>
      <c r="U57" s="15"/>
      <c r="V57" s="16" t="str">
        <f t="shared" si="3"/>
        <v/>
      </c>
      <c r="W57" s="16" t="str">
        <f t="shared" si="4"/>
        <v/>
      </c>
      <c r="X57" s="16" t="str">
        <f t="shared" si="5"/>
        <v/>
      </c>
    </row>
    <row r="58" spans="1:24" x14ac:dyDescent="0.3">
      <c r="A58" s="7"/>
      <c r="B58" s="7"/>
      <c r="C58" s="11"/>
      <c r="D58" s="7"/>
      <c r="E58" s="7"/>
      <c r="F58" s="12"/>
      <c r="G58" s="12"/>
      <c r="H58" s="7"/>
      <c r="I58" s="7"/>
      <c r="J58" s="12"/>
      <c r="K58" s="12"/>
      <c r="L58" s="7"/>
      <c r="M58" s="7"/>
      <c r="N58" s="12"/>
      <c r="O58" s="12"/>
      <c r="P58" s="7"/>
      <c r="Q58" s="7"/>
      <c r="R58" s="7"/>
      <c r="S58" s="13"/>
      <c r="T58" s="14"/>
      <c r="U58" s="15"/>
      <c r="V58" s="16" t="str">
        <f t="shared" si="3"/>
        <v/>
      </c>
      <c r="W58" s="16" t="str">
        <f t="shared" si="4"/>
        <v/>
      </c>
      <c r="X58" s="16" t="str">
        <f t="shared" si="5"/>
        <v/>
      </c>
    </row>
    <row r="59" spans="1:24" x14ac:dyDescent="0.3">
      <c r="A59" s="7"/>
      <c r="B59" s="7"/>
      <c r="C59" s="11"/>
      <c r="D59" s="7"/>
      <c r="E59" s="7"/>
      <c r="F59" s="12"/>
      <c r="G59" s="12"/>
      <c r="H59" s="7"/>
      <c r="I59" s="7"/>
      <c r="J59" s="12"/>
      <c r="K59" s="12"/>
      <c r="L59" s="7"/>
      <c r="M59" s="7"/>
      <c r="N59" s="12"/>
      <c r="O59" s="12"/>
      <c r="P59" s="7"/>
      <c r="Q59" s="7"/>
      <c r="R59" s="7"/>
      <c r="S59" s="13"/>
      <c r="T59" s="14"/>
      <c r="U59" s="15"/>
      <c r="V59" s="16" t="str">
        <f t="shared" si="3"/>
        <v/>
      </c>
      <c r="W59" s="16" t="str">
        <f t="shared" si="4"/>
        <v/>
      </c>
      <c r="X59" s="16" t="str">
        <f t="shared" si="5"/>
        <v/>
      </c>
    </row>
    <row r="60" spans="1:24" x14ac:dyDescent="0.3">
      <c r="A60" s="7"/>
      <c r="B60" s="7"/>
      <c r="C60" s="11"/>
      <c r="D60" s="7"/>
      <c r="E60" s="7"/>
      <c r="F60" s="12"/>
      <c r="G60" s="12"/>
      <c r="H60" s="7"/>
      <c r="I60" s="7"/>
      <c r="J60" s="12"/>
      <c r="K60" s="12"/>
      <c r="L60" s="7"/>
      <c r="M60" s="7"/>
      <c r="N60" s="12"/>
      <c r="O60" s="12"/>
      <c r="P60" s="7"/>
      <c r="Q60" s="7"/>
      <c r="R60" s="7"/>
      <c r="S60" s="13"/>
      <c r="T60" s="14"/>
      <c r="U60" s="15"/>
      <c r="V60" s="16" t="str">
        <f t="shared" si="3"/>
        <v/>
      </c>
      <c r="W60" s="16" t="str">
        <f t="shared" si="4"/>
        <v/>
      </c>
      <c r="X60" s="16" t="str">
        <f t="shared" si="5"/>
        <v/>
      </c>
    </row>
    <row r="61" spans="1:24" x14ac:dyDescent="0.3">
      <c r="A61" s="7"/>
      <c r="B61" s="7"/>
      <c r="C61" s="11"/>
      <c r="D61" s="7"/>
      <c r="E61" s="7"/>
      <c r="F61" s="12"/>
      <c r="G61" s="12"/>
      <c r="H61" s="7"/>
      <c r="I61" s="7"/>
      <c r="J61" s="12"/>
      <c r="K61" s="12"/>
      <c r="L61" s="7"/>
      <c r="M61" s="7"/>
      <c r="N61" s="12"/>
      <c r="O61" s="12"/>
      <c r="P61" s="7"/>
      <c r="Q61" s="7"/>
      <c r="R61" s="7"/>
      <c r="S61" s="13"/>
      <c r="T61" s="14"/>
      <c r="U61" s="15"/>
      <c r="V61" s="16" t="str">
        <f t="shared" si="3"/>
        <v/>
      </c>
      <c r="W61" s="16" t="str">
        <f t="shared" si="4"/>
        <v/>
      </c>
      <c r="X61" s="16" t="str">
        <f t="shared" si="5"/>
        <v/>
      </c>
    </row>
    <row r="62" spans="1:24" x14ac:dyDescent="0.3">
      <c r="A62" s="7"/>
      <c r="B62" s="7"/>
      <c r="C62" s="11"/>
      <c r="D62" s="7"/>
      <c r="E62" s="7"/>
      <c r="F62" s="12"/>
      <c r="G62" s="12"/>
      <c r="H62" s="7"/>
      <c r="I62" s="7"/>
      <c r="J62" s="12"/>
      <c r="K62" s="12"/>
      <c r="L62" s="7"/>
      <c r="M62" s="7"/>
      <c r="N62" s="12"/>
      <c r="O62" s="12"/>
      <c r="P62" s="7"/>
      <c r="Q62" s="7"/>
      <c r="R62" s="7"/>
      <c r="S62" s="13"/>
      <c r="T62" s="14"/>
      <c r="U62" s="15"/>
      <c r="V62" s="16" t="str">
        <f t="shared" si="3"/>
        <v/>
      </c>
      <c r="W62" s="16" t="str">
        <f t="shared" si="4"/>
        <v/>
      </c>
      <c r="X62" s="16" t="str">
        <f t="shared" si="5"/>
        <v/>
      </c>
    </row>
    <row r="63" spans="1:24" x14ac:dyDescent="0.3">
      <c r="A63" s="7"/>
      <c r="B63" s="7"/>
      <c r="C63" s="11"/>
      <c r="D63" s="7"/>
      <c r="E63" s="7"/>
      <c r="F63" s="12"/>
      <c r="G63" s="12"/>
      <c r="H63" s="7"/>
      <c r="I63" s="7"/>
      <c r="J63" s="12"/>
      <c r="K63" s="12"/>
      <c r="L63" s="7"/>
      <c r="M63" s="7"/>
      <c r="N63" s="12"/>
      <c r="O63" s="12"/>
      <c r="P63" s="7"/>
      <c r="Q63" s="7"/>
      <c r="R63" s="7"/>
      <c r="S63" s="13"/>
      <c r="T63" s="14"/>
      <c r="U63" s="15"/>
      <c r="V63" s="16" t="str">
        <f t="shared" si="3"/>
        <v/>
      </c>
      <c r="W63" s="16" t="str">
        <f t="shared" si="4"/>
        <v/>
      </c>
      <c r="X63" s="16" t="str">
        <f t="shared" si="5"/>
        <v/>
      </c>
    </row>
    <row r="64" spans="1:24" x14ac:dyDescent="0.3">
      <c r="A64" s="7"/>
      <c r="B64" s="7"/>
      <c r="C64" s="11"/>
      <c r="D64" s="7"/>
      <c r="E64" s="7"/>
      <c r="F64" s="12"/>
      <c r="G64" s="12"/>
      <c r="H64" s="7"/>
      <c r="I64" s="7"/>
      <c r="J64" s="12"/>
      <c r="K64" s="12"/>
      <c r="L64" s="7"/>
      <c r="M64" s="7"/>
      <c r="N64" s="12"/>
      <c r="O64" s="12"/>
      <c r="P64" s="7"/>
      <c r="Q64" s="7"/>
      <c r="R64" s="7"/>
      <c r="S64" s="13"/>
      <c r="T64" s="14"/>
      <c r="U64" s="15"/>
      <c r="V64" s="16" t="str">
        <f t="shared" si="3"/>
        <v/>
      </c>
      <c r="W64" s="16" t="str">
        <f t="shared" si="4"/>
        <v/>
      </c>
      <c r="X64" s="16" t="str">
        <f t="shared" si="5"/>
        <v/>
      </c>
    </row>
    <row r="65" spans="1:24" x14ac:dyDescent="0.3">
      <c r="A65" s="7"/>
      <c r="B65" s="7"/>
      <c r="C65" s="11"/>
      <c r="D65" s="7"/>
      <c r="E65" s="7"/>
      <c r="F65" s="12"/>
      <c r="G65" s="12"/>
      <c r="H65" s="7"/>
      <c r="I65" s="7"/>
      <c r="J65" s="12"/>
      <c r="K65" s="12"/>
      <c r="L65" s="7"/>
      <c r="M65" s="7"/>
      <c r="N65" s="12"/>
      <c r="O65" s="12"/>
      <c r="P65" s="7"/>
      <c r="Q65" s="7"/>
      <c r="R65" s="7"/>
      <c r="S65" s="13"/>
      <c r="T65" s="14"/>
      <c r="U65" s="15"/>
      <c r="V65" s="16" t="str">
        <f t="shared" si="3"/>
        <v/>
      </c>
      <c r="W65" s="16" t="str">
        <f t="shared" si="4"/>
        <v/>
      </c>
      <c r="X65" s="16" t="str">
        <f t="shared" si="5"/>
        <v/>
      </c>
    </row>
    <row r="66" spans="1:24" x14ac:dyDescent="0.3">
      <c r="A66" s="7"/>
      <c r="B66" s="7"/>
      <c r="C66" s="11"/>
      <c r="D66" s="7"/>
      <c r="E66" s="7"/>
      <c r="F66" s="12"/>
      <c r="G66" s="12"/>
      <c r="H66" s="7"/>
      <c r="I66" s="7"/>
      <c r="J66" s="12"/>
      <c r="K66" s="12"/>
      <c r="L66" s="7"/>
      <c r="M66" s="7"/>
      <c r="N66" s="12"/>
      <c r="O66" s="12"/>
      <c r="P66" s="7"/>
      <c r="Q66" s="7"/>
      <c r="R66" s="7"/>
      <c r="S66" s="13"/>
      <c r="T66" s="14"/>
      <c r="U66" s="15"/>
      <c r="V66" s="16" t="str">
        <f t="shared" ref="V66:V81" si="6">IF(A66="","",IF(A66="결승","PO-FINAL",IF(B66="","번호 없음",IF(A66="PO","PO-"&amp;B66&amp;"M",A66&amp;"-"&amp;B66&amp;"M"))))</f>
        <v/>
      </c>
      <c r="W66" s="16" t="str">
        <f t="shared" ref="W66:W81" si="7">IF(C66="","",IFERROR(CHOOSE(WEEKDAY(C66),"일","월","화","수","목","금","토"),"날짜 확인"))</f>
        <v/>
      </c>
      <c r="X66" s="16" t="str">
        <f t="shared" ref="X66:X81" si="8">IF(COUNTA(A66:R66)=0,"",IF(COUNTBLANK(A66:R66)-IF(A66="결승",IF(B66="",1,0),0)&gt;0,"빈칸 "&amp;(COUNTBLANK(A66:R66)-IF(A66="결승",IF(B66="",1,0),0))&amp;"개",IF(D66=E66,"홈·원정 같음","OK")))</f>
        <v/>
      </c>
    </row>
    <row r="67" spans="1:24" x14ac:dyDescent="0.3">
      <c r="A67" s="7"/>
      <c r="B67" s="7"/>
      <c r="C67" s="11"/>
      <c r="D67" s="7"/>
      <c r="E67" s="7"/>
      <c r="F67" s="12"/>
      <c r="G67" s="12"/>
      <c r="H67" s="7"/>
      <c r="I67" s="7"/>
      <c r="J67" s="12"/>
      <c r="K67" s="12"/>
      <c r="L67" s="7"/>
      <c r="M67" s="7"/>
      <c r="N67" s="12"/>
      <c r="O67" s="12"/>
      <c r="P67" s="7"/>
      <c r="Q67" s="7"/>
      <c r="R67" s="7"/>
      <c r="S67" s="13"/>
      <c r="T67" s="14"/>
      <c r="U67" s="15"/>
      <c r="V67" s="16" t="str">
        <f t="shared" si="6"/>
        <v/>
      </c>
      <c r="W67" s="16" t="str">
        <f t="shared" si="7"/>
        <v/>
      </c>
      <c r="X67" s="16" t="str">
        <f t="shared" si="8"/>
        <v/>
      </c>
    </row>
    <row r="68" spans="1:24" x14ac:dyDescent="0.3">
      <c r="A68" s="7"/>
      <c r="B68" s="7"/>
      <c r="C68" s="11"/>
      <c r="D68" s="7"/>
      <c r="E68" s="7"/>
      <c r="F68" s="12"/>
      <c r="G68" s="12"/>
      <c r="H68" s="7"/>
      <c r="I68" s="7"/>
      <c r="J68" s="12"/>
      <c r="K68" s="12"/>
      <c r="L68" s="7"/>
      <c r="M68" s="7"/>
      <c r="N68" s="12"/>
      <c r="O68" s="12"/>
      <c r="P68" s="7"/>
      <c r="Q68" s="7"/>
      <c r="R68" s="7"/>
      <c r="S68" s="13"/>
      <c r="T68" s="14"/>
      <c r="U68" s="15"/>
      <c r="V68" s="16" t="str">
        <f t="shared" si="6"/>
        <v/>
      </c>
      <c r="W68" s="16" t="str">
        <f t="shared" si="7"/>
        <v/>
      </c>
      <c r="X68" s="16" t="str">
        <f t="shared" si="8"/>
        <v/>
      </c>
    </row>
    <row r="69" spans="1:24" x14ac:dyDescent="0.3">
      <c r="A69" s="7"/>
      <c r="B69" s="7"/>
      <c r="C69" s="11"/>
      <c r="D69" s="7"/>
      <c r="E69" s="7"/>
      <c r="F69" s="12"/>
      <c r="G69" s="12"/>
      <c r="H69" s="7"/>
      <c r="I69" s="7"/>
      <c r="J69" s="12"/>
      <c r="K69" s="12"/>
      <c r="L69" s="7"/>
      <c r="M69" s="7"/>
      <c r="N69" s="12"/>
      <c r="O69" s="12"/>
      <c r="P69" s="7"/>
      <c r="Q69" s="7"/>
      <c r="R69" s="7"/>
      <c r="S69" s="13"/>
      <c r="T69" s="14"/>
      <c r="U69" s="15"/>
      <c r="V69" s="16" t="str">
        <f t="shared" si="6"/>
        <v/>
      </c>
      <c r="W69" s="16" t="str">
        <f t="shared" si="7"/>
        <v/>
      </c>
      <c r="X69" s="16" t="str">
        <f t="shared" si="8"/>
        <v/>
      </c>
    </row>
    <row r="70" spans="1:24" x14ac:dyDescent="0.3">
      <c r="A70" s="7"/>
      <c r="B70" s="7"/>
      <c r="C70" s="11"/>
      <c r="D70" s="7"/>
      <c r="E70" s="7"/>
      <c r="F70" s="12"/>
      <c r="G70" s="12"/>
      <c r="H70" s="7"/>
      <c r="I70" s="7"/>
      <c r="J70" s="12"/>
      <c r="K70" s="12"/>
      <c r="L70" s="7"/>
      <c r="M70" s="7"/>
      <c r="N70" s="12"/>
      <c r="O70" s="12"/>
      <c r="P70" s="7"/>
      <c r="Q70" s="7"/>
      <c r="R70" s="7"/>
      <c r="S70" s="13"/>
      <c r="T70" s="14"/>
      <c r="U70" s="15"/>
      <c r="V70" s="16" t="str">
        <f t="shared" si="6"/>
        <v/>
      </c>
      <c r="W70" s="16" t="str">
        <f t="shared" si="7"/>
        <v/>
      </c>
      <c r="X70" s="16" t="str">
        <f t="shared" si="8"/>
        <v/>
      </c>
    </row>
    <row r="71" spans="1:24" x14ac:dyDescent="0.3">
      <c r="A71" s="7"/>
      <c r="B71" s="7"/>
      <c r="C71" s="11"/>
      <c r="D71" s="7"/>
      <c r="E71" s="7"/>
      <c r="F71" s="12"/>
      <c r="G71" s="12"/>
      <c r="H71" s="7"/>
      <c r="I71" s="7"/>
      <c r="J71" s="12"/>
      <c r="K71" s="12"/>
      <c r="L71" s="7"/>
      <c r="M71" s="7"/>
      <c r="N71" s="12"/>
      <c r="O71" s="12"/>
      <c r="P71" s="7"/>
      <c r="Q71" s="7"/>
      <c r="R71" s="7"/>
      <c r="S71" s="13"/>
      <c r="T71" s="14"/>
      <c r="U71" s="15"/>
      <c r="V71" s="16" t="str">
        <f t="shared" si="6"/>
        <v/>
      </c>
      <c r="W71" s="16" t="str">
        <f t="shared" si="7"/>
        <v/>
      </c>
      <c r="X71" s="16" t="str">
        <f t="shared" si="8"/>
        <v/>
      </c>
    </row>
    <row r="72" spans="1:24" x14ac:dyDescent="0.3">
      <c r="A72" s="7"/>
      <c r="B72" s="7"/>
      <c r="C72" s="11"/>
      <c r="D72" s="7"/>
      <c r="E72" s="7"/>
      <c r="F72" s="12"/>
      <c r="G72" s="12"/>
      <c r="H72" s="7"/>
      <c r="I72" s="7"/>
      <c r="J72" s="12"/>
      <c r="K72" s="12"/>
      <c r="L72" s="7"/>
      <c r="M72" s="7"/>
      <c r="N72" s="12"/>
      <c r="O72" s="12"/>
      <c r="P72" s="7"/>
      <c r="Q72" s="7"/>
      <c r="R72" s="7"/>
      <c r="S72" s="13"/>
      <c r="T72" s="14"/>
      <c r="U72" s="15"/>
      <c r="V72" s="16" t="str">
        <f t="shared" si="6"/>
        <v/>
      </c>
      <c r="W72" s="16" t="str">
        <f t="shared" si="7"/>
        <v/>
      </c>
      <c r="X72" s="16" t="str">
        <f t="shared" si="8"/>
        <v/>
      </c>
    </row>
    <row r="73" spans="1:24" x14ac:dyDescent="0.3">
      <c r="A73" s="7"/>
      <c r="B73" s="7"/>
      <c r="C73" s="11"/>
      <c r="D73" s="7"/>
      <c r="E73" s="7"/>
      <c r="F73" s="12"/>
      <c r="G73" s="12"/>
      <c r="H73" s="7"/>
      <c r="I73" s="7"/>
      <c r="J73" s="12"/>
      <c r="K73" s="12"/>
      <c r="L73" s="7"/>
      <c r="M73" s="7"/>
      <c r="N73" s="12"/>
      <c r="O73" s="12"/>
      <c r="P73" s="7"/>
      <c r="Q73" s="7"/>
      <c r="R73" s="7"/>
      <c r="S73" s="13"/>
      <c r="T73" s="14"/>
      <c r="U73" s="15"/>
      <c r="V73" s="16" t="str">
        <f t="shared" si="6"/>
        <v/>
      </c>
      <c r="W73" s="16" t="str">
        <f t="shared" si="7"/>
        <v/>
      </c>
      <c r="X73" s="16" t="str">
        <f t="shared" si="8"/>
        <v/>
      </c>
    </row>
    <row r="74" spans="1:24" x14ac:dyDescent="0.3">
      <c r="A74" s="7"/>
      <c r="B74" s="7"/>
      <c r="C74" s="11"/>
      <c r="D74" s="7"/>
      <c r="E74" s="7"/>
      <c r="F74" s="12"/>
      <c r="G74" s="12"/>
      <c r="H74" s="7"/>
      <c r="I74" s="7"/>
      <c r="J74" s="12"/>
      <c r="K74" s="12"/>
      <c r="L74" s="7"/>
      <c r="M74" s="7"/>
      <c r="N74" s="12"/>
      <c r="O74" s="12"/>
      <c r="P74" s="7"/>
      <c r="Q74" s="7"/>
      <c r="R74" s="7"/>
      <c r="S74" s="13"/>
      <c r="T74" s="14"/>
      <c r="U74" s="15"/>
      <c r="V74" s="16" t="str">
        <f t="shared" si="6"/>
        <v/>
      </c>
      <c r="W74" s="16" t="str">
        <f t="shared" si="7"/>
        <v/>
      </c>
      <c r="X74" s="16" t="str">
        <f t="shared" si="8"/>
        <v/>
      </c>
    </row>
    <row r="75" spans="1:24" x14ac:dyDescent="0.3">
      <c r="A75" s="7"/>
      <c r="B75" s="7"/>
      <c r="C75" s="11"/>
      <c r="D75" s="7"/>
      <c r="E75" s="7"/>
      <c r="F75" s="12"/>
      <c r="G75" s="12"/>
      <c r="H75" s="7"/>
      <c r="I75" s="7"/>
      <c r="J75" s="12"/>
      <c r="K75" s="12"/>
      <c r="L75" s="7"/>
      <c r="M75" s="7"/>
      <c r="N75" s="12"/>
      <c r="O75" s="12"/>
      <c r="P75" s="7"/>
      <c r="Q75" s="7"/>
      <c r="R75" s="7"/>
      <c r="S75" s="13"/>
      <c r="T75" s="14"/>
      <c r="U75" s="15"/>
      <c r="V75" s="16" t="str">
        <f t="shared" si="6"/>
        <v/>
      </c>
      <c r="W75" s="16" t="str">
        <f t="shared" si="7"/>
        <v/>
      </c>
      <c r="X75" s="16" t="str">
        <f t="shared" si="8"/>
        <v/>
      </c>
    </row>
    <row r="76" spans="1:24" x14ac:dyDescent="0.3">
      <c r="A76" s="7"/>
      <c r="B76" s="7"/>
      <c r="C76" s="11"/>
      <c r="D76" s="7"/>
      <c r="E76" s="7"/>
      <c r="F76" s="12"/>
      <c r="G76" s="12"/>
      <c r="H76" s="7"/>
      <c r="I76" s="7"/>
      <c r="J76" s="12"/>
      <c r="K76" s="12"/>
      <c r="L76" s="7"/>
      <c r="M76" s="7"/>
      <c r="N76" s="12"/>
      <c r="O76" s="12"/>
      <c r="P76" s="7"/>
      <c r="Q76" s="7"/>
      <c r="R76" s="7"/>
      <c r="S76" s="13"/>
      <c r="T76" s="14"/>
      <c r="U76" s="15"/>
      <c r="V76" s="16" t="str">
        <f t="shared" si="6"/>
        <v/>
      </c>
      <c r="W76" s="16" t="str">
        <f t="shared" si="7"/>
        <v/>
      </c>
      <c r="X76" s="16" t="str">
        <f t="shared" si="8"/>
        <v/>
      </c>
    </row>
    <row r="77" spans="1:24" x14ac:dyDescent="0.3">
      <c r="A77" s="7"/>
      <c r="B77" s="7"/>
      <c r="C77" s="11"/>
      <c r="D77" s="7"/>
      <c r="E77" s="7"/>
      <c r="F77" s="12"/>
      <c r="G77" s="12"/>
      <c r="H77" s="7"/>
      <c r="I77" s="7"/>
      <c r="J77" s="12"/>
      <c r="K77" s="12"/>
      <c r="L77" s="7"/>
      <c r="M77" s="7"/>
      <c r="N77" s="12"/>
      <c r="O77" s="12"/>
      <c r="P77" s="7"/>
      <c r="Q77" s="7"/>
      <c r="R77" s="7"/>
      <c r="S77" s="13"/>
      <c r="T77" s="14"/>
      <c r="U77" s="15"/>
      <c r="V77" s="16" t="str">
        <f t="shared" si="6"/>
        <v/>
      </c>
      <c r="W77" s="16" t="str">
        <f t="shared" si="7"/>
        <v/>
      </c>
      <c r="X77" s="16" t="str">
        <f t="shared" si="8"/>
        <v/>
      </c>
    </row>
    <row r="78" spans="1:24" x14ac:dyDescent="0.3">
      <c r="A78" s="7"/>
      <c r="B78" s="7"/>
      <c r="C78" s="11"/>
      <c r="D78" s="7"/>
      <c r="E78" s="7"/>
      <c r="F78" s="12"/>
      <c r="G78" s="12"/>
      <c r="H78" s="7"/>
      <c r="I78" s="7"/>
      <c r="J78" s="12"/>
      <c r="K78" s="12"/>
      <c r="L78" s="7"/>
      <c r="M78" s="7"/>
      <c r="N78" s="12"/>
      <c r="O78" s="12"/>
      <c r="P78" s="7"/>
      <c r="Q78" s="7"/>
      <c r="R78" s="7"/>
      <c r="S78" s="13"/>
      <c r="T78" s="14"/>
      <c r="U78" s="15"/>
      <c r="V78" s="16" t="str">
        <f t="shared" si="6"/>
        <v/>
      </c>
      <c r="W78" s="16" t="str">
        <f t="shared" si="7"/>
        <v/>
      </c>
      <c r="X78" s="16" t="str">
        <f t="shared" si="8"/>
        <v/>
      </c>
    </row>
    <row r="79" spans="1:24" x14ac:dyDescent="0.3">
      <c r="A79" s="7"/>
      <c r="B79" s="7"/>
      <c r="C79" s="11"/>
      <c r="D79" s="7"/>
      <c r="E79" s="7"/>
      <c r="F79" s="12"/>
      <c r="G79" s="12"/>
      <c r="H79" s="7"/>
      <c r="I79" s="7"/>
      <c r="J79" s="12"/>
      <c r="K79" s="12"/>
      <c r="L79" s="7"/>
      <c r="M79" s="7"/>
      <c r="N79" s="12"/>
      <c r="O79" s="12"/>
      <c r="P79" s="7"/>
      <c r="Q79" s="7"/>
      <c r="R79" s="7"/>
      <c r="S79" s="13"/>
      <c r="T79" s="14"/>
      <c r="U79" s="15"/>
      <c r="V79" s="16" t="str">
        <f t="shared" si="6"/>
        <v/>
      </c>
      <c r="W79" s="16" t="str">
        <f t="shared" si="7"/>
        <v/>
      </c>
      <c r="X79" s="16" t="str">
        <f t="shared" si="8"/>
        <v/>
      </c>
    </row>
    <row r="80" spans="1:24" x14ac:dyDescent="0.3">
      <c r="A80" s="7"/>
      <c r="B80" s="7"/>
      <c r="C80" s="11"/>
      <c r="D80" s="7"/>
      <c r="E80" s="7"/>
      <c r="F80" s="12"/>
      <c r="G80" s="12"/>
      <c r="H80" s="7"/>
      <c r="I80" s="7"/>
      <c r="J80" s="12"/>
      <c r="K80" s="12"/>
      <c r="L80" s="7"/>
      <c r="M80" s="7"/>
      <c r="N80" s="12"/>
      <c r="O80" s="12"/>
      <c r="P80" s="7"/>
      <c r="Q80" s="7"/>
      <c r="R80" s="7"/>
      <c r="S80" s="13"/>
      <c r="T80" s="14"/>
      <c r="U80" s="15"/>
      <c r="V80" s="16" t="str">
        <f t="shared" si="6"/>
        <v/>
      </c>
      <c r="W80" s="16" t="str">
        <f t="shared" si="7"/>
        <v/>
      </c>
      <c r="X80" s="16" t="str">
        <f t="shared" si="8"/>
        <v/>
      </c>
    </row>
    <row r="81" spans="1:24" x14ac:dyDescent="0.3">
      <c r="A81" s="7"/>
      <c r="B81" s="7"/>
      <c r="C81" s="11"/>
      <c r="D81" s="7"/>
      <c r="E81" s="7"/>
      <c r="F81" s="12"/>
      <c r="G81" s="12"/>
      <c r="H81" s="7"/>
      <c r="I81" s="7"/>
      <c r="J81" s="12"/>
      <c r="K81" s="12"/>
      <c r="L81" s="7"/>
      <c r="M81" s="7"/>
      <c r="N81" s="12"/>
      <c r="O81" s="12"/>
      <c r="P81" s="7"/>
      <c r="Q81" s="7"/>
      <c r="R81" s="7"/>
      <c r="S81" s="13"/>
      <c r="T81" s="14"/>
      <c r="U81" s="15"/>
      <c r="V81" s="16" t="str">
        <f t="shared" si="6"/>
        <v/>
      </c>
      <c r="W81" s="16" t="str">
        <f t="shared" si="7"/>
        <v/>
      </c>
      <c r="X81" s="16" t="str">
        <f t="shared" si="8"/>
        <v/>
      </c>
    </row>
  </sheetData>
  <autoFilter ref="A1:X81"/>
  <phoneticPr fontId="8" type="noConversion"/>
  <conditionalFormatting sqref="X2:X81">
    <cfRule type="expression" dxfId="3" priority="1">
      <formula>AND(X2&lt;&gt;"",X2&lt;&gt;"OK")</formula>
    </cfRule>
    <cfRule type="expression" dxfId="2" priority="2">
      <formula>X2="OK"</formula>
    </cfRule>
  </conditionalFormatting>
  <dataValidations count="4">
    <dataValidation type="list" allowBlank="1" showErrorMessage="1" errorTitle="라운드" error="목록에서 골라 주세요: 1R, 2R, 3R" sqref="A2:A81">
      <formula1>"1R,2R,3R"</formula1>
    </dataValidation>
    <dataValidation type="whole" allowBlank="1" showErrorMessage="1" errorTitle="매치번호" error="1~999 숫자만 넣어 주세요. 정규 라운드는 1R~3R 전체에서 이어지는 번호예요." sqref="B2:B81">
      <formula1>1</formula1>
      <formula2>999</formula2>
    </dataValidation>
    <dataValidation type="date" operator="greaterThan" allowBlank="1" showErrorMessage="1" errorTitle="날짜" error="날짜로 넣어 주세요. 예: 10/4 또는 2026-10-04" sqref="C2:C81">
      <formula1>44927</formula1>
    </dataValidation>
    <dataValidation type="time" allowBlank="1" showErrorMessage="1" errorTitle="시간" error="시간으로 넣어 주세요. 예: 21:00" sqref="S2:S81"/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팀" error="'목록' 시트 A열의 팀 이름에서 골라 주세요.">
          <x14:formula1>
            <xm:f>목록!$A$2:$A$31</xm:f>
          </x14:formula1>
          <xm:sqref>D2:D81 E2:E81</xm:sqref>
        </x14:dataValidation>
        <x14:dataValidation type="list" allowBlank="1" showErrorMessage="1" errorTitle="세트 종류" error="목록에서 골라 주세요 (1티어~4티어, 팀플2~4, 홈지정)">
          <x14:formula1>
            <xm:f>목록!$C$2:$C$9</xm:f>
          </x14:formula1>
          <xm:sqref>F2:F81 H2:H81 J2:J81 L2:L81 N2:N81 P2:P81</xm:sqref>
        </x14:dataValidation>
        <x14:dataValidation type="list" allowBlank="1" showErrorMessage="1" errorTitle="맵" error="'목록' 시트 B열의 맵에서 골라 주세요.">
          <x14:formula1>
            <xm:f>목록!$B$2:$B$31</xm:f>
          </x14:formula1>
          <xm:sqref>G2:G81 I2:I81 K2:K81 M2:M81 O2:O81 Q2:Q81 R2:R81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81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2" width="9" customWidth="1"/>
    <col min="3" max="3" width="12" customWidth="1"/>
    <col min="4" max="5" width="16" customWidth="1"/>
    <col min="6" max="6" width="11" customWidth="1"/>
    <col min="7" max="7" width="13" customWidth="1"/>
    <col min="8" max="8" width="11" customWidth="1"/>
    <col min="9" max="9" width="13" customWidth="1"/>
    <col min="10" max="10" width="11" customWidth="1"/>
    <col min="11" max="11" width="13" customWidth="1"/>
    <col min="12" max="12" width="11" customWidth="1"/>
    <col min="13" max="13" width="13" customWidth="1"/>
    <col min="14" max="14" width="11" customWidth="1"/>
    <col min="15" max="15" width="13" customWidth="1"/>
    <col min="16" max="16" width="11" customWidth="1"/>
    <col min="17" max="18" width="13" customWidth="1"/>
    <col min="19" max="19" width="10" customWidth="1"/>
    <col min="20" max="20" width="16" customWidth="1"/>
    <col min="21" max="21" width="20" customWidth="1"/>
    <col min="22" max="22" width="12" customWidth="1"/>
    <col min="23" max="23" width="9" customWidth="1"/>
    <col min="24" max="24" width="14" customWidth="1"/>
  </cols>
  <sheetData>
    <row r="1" spans="1:24" ht="32.1" customHeight="1" x14ac:dyDescent="0.3">
      <c r="A1" s="6" t="s">
        <v>11</v>
      </c>
      <c r="B1" s="6" t="s">
        <v>13</v>
      </c>
      <c r="C1" s="6" t="s">
        <v>15</v>
      </c>
      <c r="D1" s="6" t="s">
        <v>31</v>
      </c>
      <c r="E1" s="6" t="s">
        <v>32</v>
      </c>
      <c r="F1" s="8" t="s">
        <v>33</v>
      </c>
      <c r="G1" s="8" t="s">
        <v>34</v>
      </c>
      <c r="H1" s="8" t="s">
        <v>35</v>
      </c>
      <c r="I1" s="8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6" t="s">
        <v>21</v>
      </c>
      <c r="S1" s="9" t="s">
        <v>22</v>
      </c>
      <c r="T1" s="9" t="s">
        <v>24</v>
      </c>
      <c r="U1" s="9" t="s">
        <v>26</v>
      </c>
      <c r="V1" s="10" t="s">
        <v>63</v>
      </c>
      <c r="W1" s="10" t="s">
        <v>64</v>
      </c>
      <c r="X1" s="10" t="s">
        <v>65</v>
      </c>
    </row>
    <row r="2" spans="1:24" x14ac:dyDescent="0.3">
      <c r="A2" s="7"/>
      <c r="B2" s="7"/>
      <c r="C2" s="11"/>
      <c r="D2" s="7"/>
      <c r="E2" s="7"/>
      <c r="F2" s="12"/>
      <c r="G2" s="12"/>
      <c r="H2" s="7"/>
      <c r="I2" s="7"/>
      <c r="J2" s="12"/>
      <c r="K2" s="12"/>
      <c r="L2" s="7"/>
      <c r="M2" s="7"/>
      <c r="N2" s="12"/>
      <c r="O2" s="12"/>
      <c r="P2" s="7"/>
      <c r="Q2" s="7"/>
      <c r="R2" s="7"/>
      <c r="S2" s="13"/>
      <c r="T2" s="14"/>
      <c r="U2" s="15"/>
      <c r="V2" s="16" t="str">
        <f>IF(A2="","",IF(A2="결승","PO-FINAL",IF(B2="","번호 없음",IF(A2="PO","PO-"&amp;B2&amp;"M",A2&amp;"-"&amp;B2&amp;"M"))))</f>
        <v/>
      </c>
      <c r="W2" s="16" t="str">
        <f>IF(C2="","",IFERROR(CHOOSE(WEEKDAY(C2),"일","월","화","수","목","금","토"),"날짜 확인"))</f>
        <v/>
      </c>
      <c r="X2" s="16" t="str">
        <f>IF(COUNTA(A2:R2)=0,"",IF(COUNTBLANK(A2:R2)-IF(A2="결승",IF(B2="",1,0),0)&gt;0,"빈칸 "&amp;(COUNTBLANK(A2:R2)-IF(A2="결승",IF(B2="",1,0),0))&amp;"개",IF(D2=E2,"홈·원정 같음","OK")))</f>
        <v/>
      </c>
    </row>
    <row r="3" spans="1:24" x14ac:dyDescent="0.3">
      <c r="A3" s="7"/>
      <c r="B3" s="7"/>
      <c r="C3" s="11"/>
      <c r="D3" s="7"/>
      <c r="E3" s="7"/>
      <c r="F3" s="12"/>
      <c r="G3" s="12"/>
      <c r="H3" s="7"/>
      <c r="I3" s="7"/>
      <c r="J3" s="12"/>
      <c r="K3" s="12"/>
      <c r="L3" s="7"/>
      <c r="M3" s="7"/>
      <c r="N3" s="12"/>
      <c r="O3" s="12"/>
      <c r="P3" s="7"/>
      <c r="Q3" s="7"/>
      <c r="R3" s="7"/>
      <c r="S3" s="13"/>
      <c r="T3" s="14"/>
      <c r="U3" s="15"/>
      <c r="V3" s="16" t="str">
        <f>IF(A3="","",IF(A3="결승","PO-FINAL",IF(B3="","번호 없음",IF(A3="PO","PO-"&amp;B3&amp;"M",A3&amp;"-"&amp;B3&amp;"M"))))</f>
        <v/>
      </c>
      <c r="W3" s="16" t="str">
        <f>IF(C3="","",IFERROR(CHOOSE(WEEKDAY(C3),"일","월","화","수","목","금","토"),"날짜 확인"))</f>
        <v/>
      </c>
      <c r="X3" s="16" t="str">
        <f>IF(COUNTA(A3:R3)=0,"",IF(COUNTBLANK(A3:R3)-IF(A3="결승",IF(B3="",1,0),0)&gt;0,"빈칸 "&amp;(COUNTBLANK(A3:R3)-IF(A3="결승",IF(B3="",1,0),0))&amp;"개",IF(D3=E3,"홈·원정 같음","OK")))</f>
        <v/>
      </c>
    </row>
    <row r="4" spans="1:24" x14ac:dyDescent="0.3">
      <c r="A4" s="7"/>
      <c r="B4" s="7"/>
      <c r="C4" s="11"/>
      <c r="D4" s="7"/>
      <c r="E4" s="7"/>
      <c r="F4" s="12"/>
      <c r="G4" s="12"/>
      <c r="H4" s="7"/>
      <c r="I4" s="7"/>
      <c r="J4" s="12"/>
      <c r="K4" s="12"/>
      <c r="L4" s="7"/>
      <c r="M4" s="7"/>
      <c r="N4" s="12"/>
      <c r="O4" s="12"/>
      <c r="P4" s="7"/>
      <c r="Q4" s="7"/>
      <c r="R4" s="7"/>
      <c r="S4" s="13"/>
      <c r="T4" s="14"/>
      <c r="U4" s="15"/>
      <c r="V4" s="16" t="str">
        <f>IF(A4="","",IF(A4="결승","PO-FINAL",IF(B4="","번호 없음",IF(A4="PO","PO-"&amp;B4&amp;"M",A4&amp;"-"&amp;B4&amp;"M"))))</f>
        <v/>
      </c>
      <c r="W4" s="16" t="str">
        <f>IF(C4="","",IFERROR(CHOOSE(WEEKDAY(C4),"일","월","화","수","목","금","토"),"날짜 확인"))</f>
        <v/>
      </c>
      <c r="X4" s="16" t="str">
        <f>IF(COUNTA(A4:R4)=0,"",IF(COUNTBLANK(A4:R4)-IF(A4="결승",IF(B4="",1,0),0)&gt;0,"빈칸 "&amp;(COUNTBLANK(A4:R4)-IF(A4="결승",IF(B4="",1,0),0))&amp;"개",IF(D4=E4,"홈·원정 같음","OK")))</f>
        <v/>
      </c>
    </row>
    <row r="5" spans="1:24" x14ac:dyDescent="0.3">
      <c r="A5" s="7"/>
      <c r="B5" s="7"/>
      <c r="C5" s="11"/>
      <c r="D5" s="7"/>
      <c r="E5" s="7"/>
      <c r="F5" s="12"/>
      <c r="G5" s="12"/>
      <c r="H5" s="7"/>
      <c r="I5" s="7"/>
      <c r="J5" s="12"/>
      <c r="K5" s="12"/>
      <c r="L5" s="7"/>
      <c r="M5" s="7"/>
      <c r="N5" s="12"/>
      <c r="O5" s="12"/>
      <c r="P5" s="7"/>
      <c r="Q5" s="7"/>
      <c r="R5" s="7"/>
      <c r="S5" s="13"/>
      <c r="T5" s="14"/>
      <c r="U5" s="15"/>
      <c r="V5" s="16" t="str">
        <f>IF(A5="","",IF(A5="결승","PO-FINAL",IF(B5="","번호 없음",IF(A5="PO","PO-"&amp;B5&amp;"M",A5&amp;"-"&amp;B5&amp;"M"))))</f>
        <v/>
      </c>
      <c r="W5" s="16" t="str">
        <f>IF(C5="","",IFERROR(CHOOSE(WEEKDAY(C5),"일","월","화","수","목","금","토"),"날짜 확인"))</f>
        <v/>
      </c>
      <c r="X5" s="16" t="str">
        <f>IF(COUNTA(A5:R5)=0,"",IF(COUNTBLANK(A5:R5)-IF(A5="결승",IF(B5="",1,0),0)&gt;0,"빈칸 "&amp;(COUNTBLANK(A5:R5)-IF(A5="결승",IF(B5="",1,0),0))&amp;"개",IF(D5=E5,"홈·원정 같음","OK")))</f>
        <v/>
      </c>
    </row>
    <row r="6" spans="1:24" x14ac:dyDescent="0.3">
      <c r="A6" s="7"/>
      <c r="B6" s="7"/>
      <c r="C6" s="11"/>
      <c r="D6" s="7"/>
      <c r="E6" s="7"/>
      <c r="F6" s="12"/>
      <c r="G6" s="12"/>
      <c r="H6" s="7"/>
      <c r="I6" s="7"/>
      <c r="J6" s="12"/>
      <c r="K6" s="12"/>
      <c r="L6" s="7"/>
      <c r="M6" s="7"/>
      <c r="N6" s="12"/>
      <c r="O6" s="12"/>
      <c r="P6" s="7"/>
      <c r="Q6" s="7"/>
      <c r="R6" s="7"/>
      <c r="S6" s="13"/>
      <c r="T6" s="14"/>
      <c r="U6" s="15"/>
      <c r="V6" s="16" t="str">
        <f>IF(A6="","",IF(A6="결승","PO-FINAL",IF(B6="","번호 없음",IF(A6="PO","PO-"&amp;B6&amp;"M",A6&amp;"-"&amp;B6&amp;"M"))))</f>
        <v/>
      </c>
      <c r="W6" s="16" t="str">
        <f>IF(C6="","",IFERROR(CHOOSE(WEEKDAY(C6),"일","월","화","수","목","금","토"),"날짜 확인"))</f>
        <v/>
      </c>
      <c r="X6" s="16" t="str">
        <f>IF(COUNTA(A6:R6)=0,"",IF(COUNTBLANK(A6:R6)-IF(A6="결승",IF(B6="",1,0),0)&gt;0,"빈칸 "&amp;(COUNTBLANK(A6:R6)-IF(A6="결승",IF(B6="",1,0),0))&amp;"개",IF(D6=E6,"홈·원정 같음","OK")))</f>
        <v/>
      </c>
    </row>
    <row r="7" spans="1:24" x14ac:dyDescent="0.3">
      <c r="A7" s="7"/>
      <c r="B7" s="7"/>
      <c r="C7" s="11"/>
      <c r="D7" s="7"/>
      <c r="E7" s="7"/>
      <c r="F7" s="12"/>
      <c r="G7" s="12"/>
      <c r="H7" s="7"/>
      <c r="I7" s="7"/>
      <c r="J7" s="12"/>
      <c r="K7" s="12"/>
      <c r="L7" s="7"/>
      <c r="M7" s="7"/>
      <c r="N7" s="12"/>
      <c r="O7" s="12"/>
      <c r="P7" s="7"/>
      <c r="Q7" s="7"/>
      <c r="R7" s="7"/>
      <c r="S7" s="13"/>
      <c r="T7" s="14"/>
      <c r="U7" s="15"/>
      <c r="V7" s="16" t="str">
        <f>IF(A7="","",IF(A7="결승","PO-FINAL",IF(B7="","번호 없음",IF(A7="PO","PO-"&amp;B7&amp;"M",A7&amp;"-"&amp;B7&amp;"M"))))</f>
        <v/>
      </c>
      <c r="W7" s="16" t="str">
        <f>IF(C7="","",IFERROR(CHOOSE(WEEKDAY(C7),"일","월","화","수","목","금","토"),"날짜 확인"))</f>
        <v/>
      </c>
      <c r="X7" s="16" t="str">
        <f>IF(COUNTA(A7:R7)=0,"",IF(COUNTBLANK(A7:R7)-IF(A7="결승",IF(B7="",1,0),0)&gt;0,"빈칸 "&amp;(COUNTBLANK(A7:R7)-IF(A7="결승",IF(B7="",1,0),0))&amp;"개",IF(D7=E7,"홈·원정 같음","OK")))</f>
        <v/>
      </c>
    </row>
    <row r="8" spans="1:24" x14ac:dyDescent="0.3">
      <c r="A8" s="7"/>
      <c r="B8" s="7"/>
      <c r="C8" s="11"/>
      <c r="D8" s="7"/>
      <c r="E8" s="7"/>
      <c r="F8" s="12"/>
      <c r="G8" s="12"/>
      <c r="H8" s="7"/>
      <c r="I8" s="7"/>
      <c r="J8" s="12"/>
      <c r="K8" s="12"/>
      <c r="L8" s="7"/>
      <c r="M8" s="7"/>
      <c r="N8" s="12"/>
      <c r="O8" s="12"/>
      <c r="P8" s="7"/>
      <c r="Q8" s="7"/>
      <c r="R8" s="7"/>
      <c r="S8" s="13"/>
      <c r="T8" s="14"/>
      <c r="U8" s="15"/>
      <c r="V8" s="16" t="str">
        <f>IF(A8="","",IF(A8="결승","PO-FINAL",IF(B8="","번호 없음",IF(A8="PO","PO-"&amp;B8&amp;"M",A8&amp;"-"&amp;B8&amp;"M"))))</f>
        <v/>
      </c>
      <c r="W8" s="16" t="str">
        <f>IF(C8="","",IFERROR(CHOOSE(WEEKDAY(C8),"일","월","화","수","목","금","토"),"날짜 확인"))</f>
        <v/>
      </c>
      <c r="X8" s="16" t="str">
        <f>IF(COUNTA(A8:R8)=0,"",IF(COUNTBLANK(A8:R8)-IF(A8="결승",IF(B8="",1,0),0)&gt;0,"빈칸 "&amp;(COUNTBLANK(A8:R8)-IF(A8="결승",IF(B8="",1,0),0))&amp;"개",IF(D8=E8,"홈·원정 같음","OK")))</f>
        <v/>
      </c>
    </row>
    <row r="9" spans="1:24" x14ac:dyDescent="0.3">
      <c r="A9" s="7"/>
      <c r="B9" s="7"/>
      <c r="C9" s="11"/>
      <c r="D9" s="7"/>
      <c r="E9" s="7"/>
      <c r="F9" s="12"/>
      <c r="G9" s="12"/>
      <c r="H9" s="7"/>
      <c r="I9" s="7"/>
      <c r="J9" s="12"/>
      <c r="K9" s="12"/>
      <c r="L9" s="7"/>
      <c r="M9" s="7"/>
      <c r="N9" s="12"/>
      <c r="O9" s="12"/>
      <c r="P9" s="7"/>
      <c r="Q9" s="7"/>
      <c r="R9" s="7"/>
      <c r="S9" s="13"/>
      <c r="T9" s="14"/>
      <c r="U9" s="15"/>
      <c r="V9" s="16" t="str">
        <f>IF(A9="","",IF(A9="결승","PO-FINAL",IF(B9="","번호 없음",IF(A9="PO","PO-"&amp;B9&amp;"M",A9&amp;"-"&amp;B9&amp;"M"))))</f>
        <v/>
      </c>
      <c r="W9" s="16" t="str">
        <f>IF(C9="","",IFERROR(CHOOSE(WEEKDAY(C9),"일","월","화","수","목","금","토"),"날짜 확인"))</f>
        <v/>
      </c>
      <c r="X9" s="16" t="str">
        <f>IF(COUNTA(A9:R9)=0,"",IF(COUNTBLANK(A9:R9)-IF(A9="결승",IF(B9="",1,0),0)&gt;0,"빈칸 "&amp;(COUNTBLANK(A9:R9)-IF(A9="결승",IF(B9="",1,0),0))&amp;"개",IF(D9=E9,"홈·원정 같음","OK")))</f>
        <v/>
      </c>
    </row>
    <row r="10" spans="1:24" x14ac:dyDescent="0.3">
      <c r="A10" s="7"/>
      <c r="B10" s="7"/>
      <c r="C10" s="11"/>
      <c r="D10" s="7"/>
      <c r="E10" s="7"/>
      <c r="F10" s="12"/>
      <c r="G10" s="12"/>
      <c r="H10" s="7"/>
      <c r="I10" s="7"/>
      <c r="J10" s="12"/>
      <c r="K10" s="12"/>
      <c r="L10" s="7"/>
      <c r="M10" s="7"/>
      <c r="N10" s="12"/>
      <c r="O10" s="12"/>
      <c r="P10" s="7"/>
      <c r="Q10" s="7"/>
      <c r="R10" s="7"/>
      <c r="S10" s="13"/>
      <c r="T10" s="14"/>
      <c r="U10" s="15"/>
      <c r="V10" s="16" t="str">
        <f>IF(A10="","",IF(A10="결승","PO-FINAL",IF(B10="","번호 없음",IF(A10="PO","PO-"&amp;B10&amp;"M",A10&amp;"-"&amp;B10&amp;"M"))))</f>
        <v/>
      </c>
      <c r="W10" s="16" t="str">
        <f>IF(C10="","",IFERROR(CHOOSE(WEEKDAY(C10),"일","월","화","수","목","금","토"),"날짜 확인"))</f>
        <v/>
      </c>
      <c r="X10" s="16" t="str">
        <f>IF(COUNTA(A10:R10)=0,"",IF(COUNTBLANK(A10:R10)-IF(A10="결승",IF(B10="",1,0),0)&gt;0,"빈칸 "&amp;(COUNTBLANK(A10:R10)-IF(A10="결승",IF(B10="",1,0),0))&amp;"개",IF(D10=E10,"홈·원정 같음","OK")))</f>
        <v/>
      </c>
    </row>
    <row r="11" spans="1:24" x14ac:dyDescent="0.3">
      <c r="A11" s="7"/>
      <c r="B11" s="7"/>
      <c r="C11" s="11"/>
      <c r="D11" s="7"/>
      <c r="E11" s="7"/>
      <c r="F11" s="12"/>
      <c r="G11" s="12"/>
      <c r="H11" s="7"/>
      <c r="I11" s="7"/>
      <c r="J11" s="12"/>
      <c r="K11" s="12"/>
      <c r="L11" s="7"/>
      <c r="M11" s="7"/>
      <c r="N11" s="12"/>
      <c r="O11" s="12"/>
      <c r="P11" s="7"/>
      <c r="Q11" s="7"/>
      <c r="R11" s="7"/>
      <c r="S11" s="13"/>
      <c r="T11" s="14"/>
      <c r="U11" s="15"/>
      <c r="V11" s="16" t="str">
        <f>IF(A11="","",IF(A11="결승","PO-FINAL",IF(B11="","번호 없음",IF(A11="PO","PO-"&amp;B11&amp;"M",A11&amp;"-"&amp;B11&amp;"M"))))</f>
        <v/>
      </c>
      <c r="W11" s="16" t="str">
        <f>IF(C11="","",IFERROR(CHOOSE(WEEKDAY(C11),"일","월","화","수","목","금","토"),"날짜 확인"))</f>
        <v/>
      </c>
      <c r="X11" s="16" t="str">
        <f>IF(COUNTA(A11:R11)=0,"",IF(COUNTBLANK(A11:R11)-IF(A11="결승",IF(B11="",1,0),0)&gt;0,"빈칸 "&amp;(COUNTBLANK(A11:R11)-IF(A11="결승",IF(B11="",1,0),0))&amp;"개",IF(D11=E11,"홈·원정 같음","OK")))</f>
        <v/>
      </c>
    </row>
    <row r="12" spans="1:24" x14ac:dyDescent="0.3">
      <c r="A12" s="7"/>
      <c r="B12" s="7"/>
      <c r="C12" s="11"/>
      <c r="D12" s="7"/>
      <c r="E12" s="7"/>
      <c r="F12" s="12"/>
      <c r="G12" s="12"/>
      <c r="H12" s="7"/>
      <c r="I12" s="7"/>
      <c r="J12" s="12"/>
      <c r="K12" s="12"/>
      <c r="L12" s="7"/>
      <c r="M12" s="7"/>
      <c r="N12" s="12"/>
      <c r="O12" s="12"/>
      <c r="P12" s="7"/>
      <c r="Q12" s="7"/>
      <c r="R12" s="7"/>
      <c r="S12" s="13"/>
      <c r="T12" s="14"/>
      <c r="U12" s="15"/>
      <c r="V12" s="16" t="str">
        <f>IF(A12="","",IF(A12="결승","PO-FINAL",IF(B12="","번호 없음",IF(A12="PO","PO-"&amp;B12&amp;"M",A12&amp;"-"&amp;B12&amp;"M"))))</f>
        <v/>
      </c>
      <c r="W12" s="16" t="str">
        <f>IF(C12="","",IFERROR(CHOOSE(WEEKDAY(C12),"일","월","화","수","목","금","토"),"날짜 확인"))</f>
        <v/>
      </c>
      <c r="X12" s="16" t="str">
        <f>IF(COUNTA(A12:R12)=0,"",IF(COUNTBLANK(A12:R12)-IF(A12="결승",IF(B12="",1,0),0)&gt;0,"빈칸 "&amp;(COUNTBLANK(A12:R12)-IF(A12="결승",IF(B12="",1,0),0))&amp;"개",IF(D12=E12,"홈·원정 같음","OK")))</f>
        <v/>
      </c>
    </row>
    <row r="13" spans="1:24" x14ac:dyDescent="0.3">
      <c r="A13" s="7"/>
      <c r="B13" s="7"/>
      <c r="C13" s="11"/>
      <c r="D13" s="7"/>
      <c r="E13" s="7"/>
      <c r="F13" s="12"/>
      <c r="G13" s="12"/>
      <c r="H13" s="7"/>
      <c r="I13" s="7"/>
      <c r="J13" s="12"/>
      <c r="K13" s="12"/>
      <c r="L13" s="7"/>
      <c r="M13" s="7"/>
      <c r="N13" s="12"/>
      <c r="O13" s="12"/>
      <c r="P13" s="7"/>
      <c r="Q13" s="7"/>
      <c r="R13" s="7"/>
      <c r="S13" s="13"/>
      <c r="T13" s="14"/>
      <c r="U13" s="15"/>
      <c r="V13" s="16" t="str">
        <f>IF(A13="","",IF(A13="결승","PO-FINAL",IF(B13="","번호 없음",IF(A13="PO","PO-"&amp;B13&amp;"M",A13&amp;"-"&amp;B13&amp;"M"))))</f>
        <v/>
      </c>
      <c r="W13" s="16" t="str">
        <f>IF(C13="","",IFERROR(CHOOSE(WEEKDAY(C13),"일","월","화","수","목","금","토"),"날짜 확인"))</f>
        <v/>
      </c>
      <c r="X13" s="16" t="str">
        <f>IF(COUNTA(A13:R13)=0,"",IF(COUNTBLANK(A13:R13)-IF(A13="결승",IF(B13="",1,0),0)&gt;0,"빈칸 "&amp;(COUNTBLANK(A13:R13)-IF(A13="결승",IF(B13="",1,0),0))&amp;"개",IF(D13=E13,"홈·원정 같음","OK")))</f>
        <v/>
      </c>
    </row>
    <row r="14" spans="1:24" x14ac:dyDescent="0.3">
      <c r="A14" s="7"/>
      <c r="B14" s="7"/>
      <c r="C14" s="11"/>
      <c r="D14" s="7"/>
      <c r="E14" s="7"/>
      <c r="F14" s="12"/>
      <c r="G14" s="12"/>
      <c r="H14" s="7"/>
      <c r="I14" s="7"/>
      <c r="J14" s="12"/>
      <c r="K14" s="12"/>
      <c r="L14" s="7"/>
      <c r="M14" s="7"/>
      <c r="N14" s="12"/>
      <c r="O14" s="12"/>
      <c r="P14" s="7"/>
      <c r="Q14" s="7"/>
      <c r="R14" s="7"/>
      <c r="S14" s="13"/>
      <c r="T14" s="14"/>
      <c r="U14" s="15"/>
      <c r="V14" s="16" t="str">
        <f>IF(A14="","",IF(A14="결승","PO-FINAL",IF(B14="","번호 없음",IF(A14="PO","PO-"&amp;B14&amp;"M",A14&amp;"-"&amp;B14&amp;"M"))))</f>
        <v/>
      </c>
      <c r="W14" s="16" t="str">
        <f>IF(C14="","",IFERROR(CHOOSE(WEEKDAY(C14),"일","월","화","수","목","금","토"),"날짜 확인"))</f>
        <v/>
      </c>
      <c r="X14" s="16" t="str">
        <f>IF(COUNTA(A14:R14)=0,"",IF(COUNTBLANK(A14:R14)-IF(A14="결승",IF(B14="",1,0),0)&gt;0,"빈칸 "&amp;(COUNTBLANK(A14:R14)-IF(A14="결승",IF(B14="",1,0),0))&amp;"개",IF(D14=E14,"홈·원정 같음","OK")))</f>
        <v/>
      </c>
    </row>
    <row r="15" spans="1:24" x14ac:dyDescent="0.3">
      <c r="A15" s="7"/>
      <c r="B15" s="7"/>
      <c r="C15" s="11"/>
      <c r="D15" s="7"/>
      <c r="E15" s="7"/>
      <c r="F15" s="12"/>
      <c r="G15" s="12"/>
      <c r="H15" s="7"/>
      <c r="I15" s="7"/>
      <c r="J15" s="12"/>
      <c r="K15" s="12"/>
      <c r="L15" s="7"/>
      <c r="M15" s="7"/>
      <c r="N15" s="12"/>
      <c r="O15" s="12"/>
      <c r="P15" s="7"/>
      <c r="Q15" s="7"/>
      <c r="R15" s="7"/>
      <c r="S15" s="13"/>
      <c r="T15" s="14"/>
      <c r="U15" s="15"/>
      <c r="V15" s="16" t="str">
        <f>IF(A15="","",IF(A15="결승","PO-FINAL",IF(B15="","번호 없음",IF(A15="PO","PO-"&amp;B15&amp;"M",A15&amp;"-"&amp;B15&amp;"M"))))</f>
        <v/>
      </c>
      <c r="W15" s="16" t="str">
        <f>IF(C15="","",IFERROR(CHOOSE(WEEKDAY(C15),"일","월","화","수","목","금","토"),"날짜 확인"))</f>
        <v/>
      </c>
      <c r="X15" s="16" t="str">
        <f>IF(COUNTA(A15:R15)=0,"",IF(COUNTBLANK(A15:R15)-IF(A15="결승",IF(B15="",1,0),0)&gt;0,"빈칸 "&amp;(COUNTBLANK(A15:R15)-IF(A15="결승",IF(B15="",1,0),0))&amp;"개",IF(D15=E15,"홈·원정 같음","OK")))</f>
        <v/>
      </c>
    </row>
    <row r="16" spans="1:24" x14ac:dyDescent="0.3">
      <c r="A16" s="7"/>
      <c r="B16" s="7"/>
      <c r="C16" s="11"/>
      <c r="D16" s="7"/>
      <c r="E16" s="7"/>
      <c r="F16" s="12"/>
      <c r="G16" s="12"/>
      <c r="H16" s="7"/>
      <c r="I16" s="7"/>
      <c r="J16" s="12"/>
      <c r="K16" s="12"/>
      <c r="L16" s="7"/>
      <c r="M16" s="7"/>
      <c r="N16" s="12"/>
      <c r="O16" s="12"/>
      <c r="P16" s="7"/>
      <c r="Q16" s="7"/>
      <c r="R16" s="7"/>
      <c r="S16" s="13"/>
      <c r="T16" s="14"/>
      <c r="U16" s="15"/>
      <c r="V16" s="16" t="str">
        <f>IF(A16="","",IF(A16="결승","PO-FINAL",IF(B16="","번호 없음",IF(A16="PO","PO-"&amp;B16&amp;"M",A16&amp;"-"&amp;B16&amp;"M"))))</f>
        <v/>
      </c>
      <c r="W16" s="16" t="str">
        <f>IF(C16="","",IFERROR(CHOOSE(WEEKDAY(C16),"일","월","화","수","목","금","토"),"날짜 확인"))</f>
        <v/>
      </c>
      <c r="X16" s="16" t="str">
        <f>IF(COUNTA(A16:R16)=0,"",IF(COUNTBLANK(A16:R16)-IF(A16="결승",IF(B16="",1,0),0)&gt;0,"빈칸 "&amp;(COUNTBLANK(A16:R16)-IF(A16="결승",IF(B16="",1,0),0))&amp;"개",IF(D16=E16,"홈·원정 같음","OK")))</f>
        <v/>
      </c>
    </row>
    <row r="17" spans="1:24" x14ac:dyDescent="0.3">
      <c r="A17" s="7"/>
      <c r="B17" s="7"/>
      <c r="C17" s="11"/>
      <c r="D17" s="7"/>
      <c r="E17" s="7"/>
      <c r="F17" s="12"/>
      <c r="G17" s="12"/>
      <c r="H17" s="7"/>
      <c r="I17" s="7"/>
      <c r="J17" s="12"/>
      <c r="K17" s="12"/>
      <c r="L17" s="7"/>
      <c r="M17" s="7"/>
      <c r="N17" s="12"/>
      <c r="O17" s="12"/>
      <c r="P17" s="7"/>
      <c r="Q17" s="7"/>
      <c r="R17" s="7"/>
      <c r="S17" s="13"/>
      <c r="T17" s="14"/>
      <c r="U17" s="15"/>
      <c r="V17" s="16" t="str">
        <f>IF(A17="","",IF(A17="결승","PO-FINAL",IF(B17="","번호 없음",IF(A17="PO","PO-"&amp;B17&amp;"M",A17&amp;"-"&amp;B17&amp;"M"))))</f>
        <v/>
      </c>
      <c r="W17" s="16" t="str">
        <f>IF(C17="","",IFERROR(CHOOSE(WEEKDAY(C17),"일","월","화","수","목","금","토"),"날짜 확인"))</f>
        <v/>
      </c>
      <c r="X17" s="16" t="str">
        <f>IF(COUNTA(A17:R17)=0,"",IF(COUNTBLANK(A17:R17)-IF(A17="결승",IF(B17="",1,0),0)&gt;0,"빈칸 "&amp;(COUNTBLANK(A17:R17)-IF(A17="결승",IF(B17="",1,0),0))&amp;"개",IF(D17=E17,"홈·원정 같음","OK")))</f>
        <v/>
      </c>
    </row>
    <row r="18" spans="1:24" x14ac:dyDescent="0.3">
      <c r="A18" s="7"/>
      <c r="B18" s="7"/>
      <c r="C18" s="11"/>
      <c r="D18" s="7"/>
      <c r="E18" s="7"/>
      <c r="F18" s="12"/>
      <c r="G18" s="12"/>
      <c r="H18" s="7"/>
      <c r="I18" s="7"/>
      <c r="J18" s="12"/>
      <c r="K18" s="12"/>
      <c r="L18" s="7"/>
      <c r="M18" s="7"/>
      <c r="N18" s="12"/>
      <c r="O18" s="12"/>
      <c r="P18" s="7"/>
      <c r="Q18" s="7"/>
      <c r="R18" s="7"/>
      <c r="S18" s="13"/>
      <c r="T18" s="14"/>
      <c r="U18" s="15"/>
      <c r="V18" s="16" t="str">
        <f>IF(A18="","",IF(A18="결승","PO-FINAL",IF(B18="","번호 없음",IF(A18="PO","PO-"&amp;B18&amp;"M",A18&amp;"-"&amp;B18&amp;"M"))))</f>
        <v/>
      </c>
      <c r="W18" s="16" t="str">
        <f>IF(C18="","",IFERROR(CHOOSE(WEEKDAY(C18),"일","월","화","수","목","금","토"),"날짜 확인"))</f>
        <v/>
      </c>
      <c r="X18" s="16" t="str">
        <f>IF(COUNTA(A18:R18)=0,"",IF(COUNTBLANK(A18:R18)-IF(A18="결승",IF(B18="",1,0),0)&gt;0,"빈칸 "&amp;(COUNTBLANK(A18:R18)-IF(A18="결승",IF(B18="",1,0),0))&amp;"개",IF(D18=E18,"홈·원정 같음","OK")))</f>
        <v/>
      </c>
    </row>
    <row r="19" spans="1:24" x14ac:dyDescent="0.3">
      <c r="A19" s="7"/>
      <c r="B19" s="7"/>
      <c r="C19" s="11"/>
      <c r="D19" s="7"/>
      <c r="E19" s="7"/>
      <c r="F19" s="12"/>
      <c r="G19" s="12"/>
      <c r="H19" s="7"/>
      <c r="I19" s="7"/>
      <c r="J19" s="12"/>
      <c r="K19" s="12"/>
      <c r="L19" s="7"/>
      <c r="M19" s="7"/>
      <c r="N19" s="12"/>
      <c r="O19" s="12"/>
      <c r="P19" s="7"/>
      <c r="Q19" s="7"/>
      <c r="R19" s="7"/>
      <c r="S19" s="13"/>
      <c r="T19" s="14"/>
      <c r="U19" s="15"/>
      <c r="V19" s="16" t="str">
        <f>IF(A19="","",IF(A19="결승","PO-FINAL",IF(B19="","번호 없음",IF(A19="PO","PO-"&amp;B19&amp;"M",A19&amp;"-"&amp;B19&amp;"M"))))</f>
        <v/>
      </c>
      <c r="W19" s="16" t="str">
        <f>IF(C19="","",IFERROR(CHOOSE(WEEKDAY(C19),"일","월","화","수","목","금","토"),"날짜 확인"))</f>
        <v/>
      </c>
      <c r="X19" s="16" t="str">
        <f>IF(COUNTA(A19:R19)=0,"",IF(COUNTBLANK(A19:R19)-IF(A19="결승",IF(B19="",1,0),0)&gt;0,"빈칸 "&amp;(COUNTBLANK(A19:R19)-IF(A19="결승",IF(B19="",1,0),0))&amp;"개",IF(D19=E19,"홈·원정 같음","OK")))</f>
        <v/>
      </c>
    </row>
    <row r="20" spans="1:24" x14ac:dyDescent="0.3">
      <c r="A20" s="7"/>
      <c r="B20" s="7"/>
      <c r="C20" s="11"/>
      <c r="D20" s="7"/>
      <c r="E20" s="7"/>
      <c r="F20" s="12"/>
      <c r="G20" s="12"/>
      <c r="H20" s="7"/>
      <c r="I20" s="7"/>
      <c r="J20" s="12"/>
      <c r="K20" s="12"/>
      <c r="L20" s="7"/>
      <c r="M20" s="7"/>
      <c r="N20" s="12"/>
      <c r="O20" s="12"/>
      <c r="P20" s="7"/>
      <c r="Q20" s="7"/>
      <c r="R20" s="7"/>
      <c r="S20" s="13"/>
      <c r="T20" s="14"/>
      <c r="U20" s="15"/>
      <c r="V20" s="16" t="str">
        <f>IF(A20="","",IF(A20="결승","PO-FINAL",IF(B20="","번호 없음",IF(A20="PO","PO-"&amp;B20&amp;"M",A20&amp;"-"&amp;B20&amp;"M"))))</f>
        <v/>
      </c>
      <c r="W20" s="16" t="str">
        <f>IF(C20="","",IFERROR(CHOOSE(WEEKDAY(C20),"일","월","화","수","목","금","토"),"날짜 확인"))</f>
        <v/>
      </c>
      <c r="X20" s="16" t="str">
        <f>IF(COUNTA(A20:R20)=0,"",IF(COUNTBLANK(A20:R20)-IF(A20="결승",IF(B20="",1,0),0)&gt;0,"빈칸 "&amp;(COUNTBLANK(A20:R20)-IF(A20="결승",IF(B20="",1,0),0))&amp;"개",IF(D20=E20,"홈·원정 같음","OK")))</f>
        <v/>
      </c>
    </row>
    <row r="21" spans="1:24" x14ac:dyDescent="0.3">
      <c r="A21" s="7"/>
      <c r="B21" s="7"/>
      <c r="C21" s="11"/>
      <c r="D21" s="7"/>
      <c r="E21" s="7"/>
      <c r="F21" s="12"/>
      <c r="G21" s="12"/>
      <c r="H21" s="7"/>
      <c r="I21" s="7"/>
      <c r="J21" s="12"/>
      <c r="K21" s="12"/>
      <c r="L21" s="7"/>
      <c r="M21" s="7"/>
      <c r="N21" s="12"/>
      <c r="O21" s="12"/>
      <c r="P21" s="7"/>
      <c r="Q21" s="7"/>
      <c r="R21" s="7"/>
      <c r="S21" s="13"/>
      <c r="T21" s="14"/>
      <c r="U21" s="15"/>
      <c r="V21" s="16" t="str">
        <f>IF(A21="","",IF(A21="결승","PO-FINAL",IF(B21="","번호 없음",IF(A21="PO","PO-"&amp;B21&amp;"M",A21&amp;"-"&amp;B21&amp;"M"))))</f>
        <v/>
      </c>
      <c r="W21" s="16" t="str">
        <f>IF(C21="","",IFERROR(CHOOSE(WEEKDAY(C21),"일","월","화","수","목","금","토"),"날짜 확인"))</f>
        <v/>
      </c>
      <c r="X21" s="16" t="str">
        <f>IF(COUNTA(A21:R21)=0,"",IF(COUNTBLANK(A21:R21)-IF(A21="결승",IF(B21="",1,0),0)&gt;0,"빈칸 "&amp;(COUNTBLANK(A21:R21)-IF(A21="결승",IF(B21="",1,0),0))&amp;"개",IF(D21=E21,"홈·원정 같음","OK")))</f>
        <v/>
      </c>
    </row>
    <row r="22" spans="1:24" x14ac:dyDescent="0.3">
      <c r="A22" s="7"/>
      <c r="B22" s="7"/>
      <c r="C22" s="11"/>
      <c r="D22" s="7"/>
      <c r="E22" s="7"/>
      <c r="F22" s="12"/>
      <c r="G22" s="12"/>
      <c r="H22" s="7"/>
      <c r="I22" s="7"/>
      <c r="J22" s="12"/>
      <c r="K22" s="12"/>
      <c r="L22" s="7"/>
      <c r="M22" s="7"/>
      <c r="N22" s="12"/>
      <c r="O22" s="12"/>
      <c r="P22" s="7"/>
      <c r="Q22" s="7"/>
      <c r="R22" s="7"/>
      <c r="S22" s="13"/>
      <c r="T22" s="14"/>
      <c r="U22" s="15"/>
      <c r="V22" s="16" t="str">
        <f>IF(A22="","",IF(A22="결승","PO-FINAL",IF(B22="","번호 없음",IF(A22="PO","PO-"&amp;B22&amp;"M",A22&amp;"-"&amp;B22&amp;"M"))))</f>
        <v/>
      </c>
      <c r="W22" s="16" t="str">
        <f>IF(C22="","",IFERROR(CHOOSE(WEEKDAY(C22),"일","월","화","수","목","금","토"),"날짜 확인"))</f>
        <v/>
      </c>
      <c r="X22" s="16" t="str">
        <f>IF(COUNTA(A22:R22)=0,"",IF(COUNTBLANK(A22:R22)-IF(A22="결승",IF(B22="",1,0),0)&gt;0,"빈칸 "&amp;(COUNTBLANK(A22:R22)-IF(A22="결승",IF(B22="",1,0),0))&amp;"개",IF(D22=E22,"홈·원정 같음","OK")))</f>
        <v/>
      </c>
    </row>
    <row r="23" spans="1:24" x14ac:dyDescent="0.3">
      <c r="A23" s="7"/>
      <c r="B23" s="7"/>
      <c r="C23" s="11"/>
      <c r="D23" s="7"/>
      <c r="E23" s="7"/>
      <c r="F23" s="12"/>
      <c r="G23" s="12"/>
      <c r="H23" s="7"/>
      <c r="I23" s="7"/>
      <c r="J23" s="12"/>
      <c r="K23" s="12"/>
      <c r="L23" s="7"/>
      <c r="M23" s="7"/>
      <c r="N23" s="12"/>
      <c r="O23" s="12"/>
      <c r="P23" s="7"/>
      <c r="Q23" s="7"/>
      <c r="R23" s="7"/>
      <c r="S23" s="13"/>
      <c r="T23" s="14"/>
      <c r="U23" s="15"/>
      <c r="V23" s="16" t="str">
        <f>IF(A23="","",IF(A23="결승","PO-FINAL",IF(B23="","번호 없음",IF(A23="PO","PO-"&amp;B23&amp;"M",A23&amp;"-"&amp;B23&amp;"M"))))</f>
        <v/>
      </c>
      <c r="W23" s="16" t="str">
        <f>IF(C23="","",IFERROR(CHOOSE(WEEKDAY(C23),"일","월","화","수","목","금","토"),"날짜 확인"))</f>
        <v/>
      </c>
      <c r="X23" s="16" t="str">
        <f>IF(COUNTA(A23:R23)=0,"",IF(COUNTBLANK(A23:R23)-IF(A23="결승",IF(B23="",1,0),0)&gt;0,"빈칸 "&amp;(COUNTBLANK(A23:R23)-IF(A23="결승",IF(B23="",1,0),0))&amp;"개",IF(D23=E23,"홈·원정 같음","OK")))</f>
        <v/>
      </c>
    </row>
    <row r="24" spans="1:24" x14ac:dyDescent="0.3">
      <c r="A24" s="7"/>
      <c r="B24" s="7"/>
      <c r="C24" s="11"/>
      <c r="D24" s="7"/>
      <c r="E24" s="7"/>
      <c r="F24" s="12"/>
      <c r="G24" s="12"/>
      <c r="H24" s="7"/>
      <c r="I24" s="7"/>
      <c r="J24" s="12"/>
      <c r="K24" s="12"/>
      <c r="L24" s="7"/>
      <c r="M24" s="7"/>
      <c r="N24" s="12"/>
      <c r="O24" s="12"/>
      <c r="P24" s="7"/>
      <c r="Q24" s="7"/>
      <c r="R24" s="7"/>
      <c r="S24" s="13"/>
      <c r="T24" s="14"/>
      <c r="U24" s="15"/>
      <c r="V24" s="16" t="str">
        <f>IF(A24="","",IF(A24="결승","PO-FINAL",IF(B24="","번호 없음",IF(A24="PO","PO-"&amp;B24&amp;"M",A24&amp;"-"&amp;B24&amp;"M"))))</f>
        <v/>
      </c>
      <c r="W24" s="16" t="str">
        <f>IF(C24="","",IFERROR(CHOOSE(WEEKDAY(C24),"일","월","화","수","목","금","토"),"날짜 확인"))</f>
        <v/>
      </c>
      <c r="X24" s="16" t="str">
        <f>IF(COUNTA(A24:R24)=0,"",IF(COUNTBLANK(A24:R24)-IF(A24="결승",IF(B24="",1,0),0)&gt;0,"빈칸 "&amp;(COUNTBLANK(A24:R24)-IF(A24="결승",IF(B24="",1,0),0))&amp;"개",IF(D24=E24,"홈·원정 같음","OK")))</f>
        <v/>
      </c>
    </row>
    <row r="25" spans="1:24" x14ac:dyDescent="0.3">
      <c r="A25" s="7"/>
      <c r="B25" s="7"/>
      <c r="C25" s="11"/>
      <c r="D25" s="7"/>
      <c r="E25" s="7"/>
      <c r="F25" s="12"/>
      <c r="G25" s="12"/>
      <c r="H25" s="7"/>
      <c r="I25" s="7"/>
      <c r="J25" s="12"/>
      <c r="K25" s="12"/>
      <c r="L25" s="7"/>
      <c r="M25" s="7"/>
      <c r="N25" s="12"/>
      <c r="O25" s="12"/>
      <c r="P25" s="7"/>
      <c r="Q25" s="7"/>
      <c r="R25" s="7"/>
      <c r="S25" s="13"/>
      <c r="T25" s="14"/>
      <c r="U25" s="15"/>
      <c r="V25" s="16" t="str">
        <f>IF(A25="","",IF(A25="결승","PO-FINAL",IF(B25="","번호 없음",IF(A25="PO","PO-"&amp;B25&amp;"M",A25&amp;"-"&amp;B25&amp;"M"))))</f>
        <v/>
      </c>
      <c r="W25" s="16" t="str">
        <f>IF(C25="","",IFERROR(CHOOSE(WEEKDAY(C25),"일","월","화","수","목","금","토"),"날짜 확인"))</f>
        <v/>
      </c>
      <c r="X25" s="16" t="str">
        <f>IF(COUNTA(A25:R25)=0,"",IF(COUNTBLANK(A25:R25)-IF(A25="결승",IF(B25="",1,0),0)&gt;0,"빈칸 "&amp;(COUNTBLANK(A25:R25)-IF(A25="결승",IF(B25="",1,0),0))&amp;"개",IF(D25=E25,"홈·원정 같음","OK")))</f>
        <v/>
      </c>
    </row>
    <row r="26" spans="1:24" x14ac:dyDescent="0.3">
      <c r="A26" s="7"/>
      <c r="B26" s="7"/>
      <c r="C26" s="11"/>
      <c r="D26" s="7"/>
      <c r="E26" s="7"/>
      <c r="F26" s="12"/>
      <c r="G26" s="12"/>
      <c r="H26" s="7"/>
      <c r="I26" s="7"/>
      <c r="J26" s="12"/>
      <c r="K26" s="12"/>
      <c r="L26" s="7"/>
      <c r="M26" s="7"/>
      <c r="N26" s="12"/>
      <c r="O26" s="12"/>
      <c r="P26" s="7"/>
      <c r="Q26" s="7"/>
      <c r="R26" s="7"/>
      <c r="S26" s="13"/>
      <c r="T26" s="14"/>
      <c r="U26" s="15"/>
      <c r="V26" s="16" t="str">
        <f>IF(A26="","",IF(A26="결승","PO-FINAL",IF(B26="","번호 없음",IF(A26="PO","PO-"&amp;B26&amp;"M",A26&amp;"-"&amp;B26&amp;"M"))))</f>
        <v/>
      </c>
      <c r="W26" s="16" t="str">
        <f>IF(C26="","",IFERROR(CHOOSE(WEEKDAY(C26),"일","월","화","수","목","금","토"),"날짜 확인"))</f>
        <v/>
      </c>
      <c r="X26" s="16" t="str">
        <f>IF(COUNTA(A26:R26)=0,"",IF(COUNTBLANK(A26:R26)-IF(A26="결승",IF(B26="",1,0),0)&gt;0,"빈칸 "&amp;(COUNTBLANK(A26:R26)-IF(A26="결승",IF(B26="",1,0),0))&amp;"개",IF(D26=E26,"홈·원정 같음","OK")))</f>
        <v/>
      </c>
    </row>
    <row r="27" spans="1:24" x14ac:dyDescent="0.3">
      <c r="A27" s="7"/>
      <c r="B27" s="7"/>
      <c r="C27" s="11"/>
      <c r="D27" s="7"/>
      <c r="E27" s="7"/>
      <c r="F27" s="12"/>
      <c r="G27" s="12"/>
      <c r="H27" s="7"/>
      <c r="I27" s="7"/>
      <c r="J27" s="12"/>
      <c r="K27" s="12"/>
      <c r="L27" s="7"/>
      <c r="M27" s="7"/>
      <c r="N27" s="12"/>
      <c r="O27" s="12"/>
      <c r="P27" s="7"/>
      <c r="Q27" s="7"/>
      <c r="R27" s="7"/>
      <c r="S27" s="13"/>
      <c r="T27" s="14"/>
      <c r="U27" s="15"/>
      <c r="V27" s="16" t="str">
        <f>IF(A27="","",IF(A27="결승","PO-FINAL",IF(B27="","번호 없음",IF(A27="PO","PO-"&amp;B27&amp;"M",A27&amp;"-"&amp;B27&amp;"M"))))</f>
        <v/>
      </c>
      <c r="W27" s="16" t="str">
        <f>IF(C27="","",IFERROR(CHOOSE(WEEKDAY(C27),"일","월","화","수","목","금","토"),"날짜 확인"))</f>
        <v/>
      </c>
      <c r="X27" s="16" t="str">
        <f>IF(COUNTA(A27:R27)=0,"",IF(COUNTBLANK(A27:R27)-IF(A27="결승",IF(B27="",1,0),0)&gt;0,"빈칸 "&amp;(COUNTBLANK(A27:R27)-IF(A27="결승",IF(B27="",1,0),0))&amp;"개",IF(D27=E27,"홈·원정 같음","OK")))</f>
        <v/>
      </c>
    </row>
    <row r="28" spans="1:24" x14ac:dyDescent="0.3">
      <c r="A28" s="7"/>
      <c r="B28" s="7"/>
      <c r="C28" s="11"/>
      <c r="D28" s="7"/>
      <c r="E28" s="7"/>
      <c r="F28" s="12"/>
      <c r="G28" s="12"/>
      <c r="H28" s="7"/>
      <c r="I28" s="7"/>
      <c r="J28" s="12"/>
      <c r="K28" s="12"/>
      <c r="L28" s="7"/>
      <c r="M28" s="7"/>
      <c r="N28" s="12"/>
      <c r="O28" s="12"/>
      <c r="P28" s="7"/>
      <c r="Q28" s="7"/>
      <c r="R28" s="7"/>
      <c r="S28" s="13"/>
      <c r="T28" s="14"/>
      <c r="U28" s="15"/>
      <c r="V28" s="16" t="str">
        <f>IF(A28="","",IF(A28="결승","PO-FINAL",IF(B28="","번호 없음",IF(A28="PO","PO-"&amp;B28&amp;"M",A28&amp;"-"&amp;B28&amp;"M"))))</f>
        <v/>
      </c>
      <c r="W28" s="16" t="str">
        <f>IF(C28="","",IFERROR(CHOOSE(WEEKDAY(C28),"일","월","화","수","목","금","토"),"날짜 확인"))</f>
        <v/>
      </c>
      <c r="X28" s="16" t="str">
        <f>IF(COUNTA(A28:R28)=0,"",IF(COUNTBLANK(A28:R28)-IF(A28="결승",IF(B28="",1,0),0)&gt;0,"빈칸 "&amp;(COUNTBLANK(A28:R28)-IF(A28="결승",IF(B28="",1,0),0))&amp;"개",IF(D28=E28,"홈·원정 같음","OK")))</f>
        <v/>
      </c>
    </row>
    <row r="29" spans="1:24" x14ac:dyDescent="0.3">
      <c r="A29" s="7"/>
      <c r="B29" s="7"/>
      <c r="C29" s="11"/>
      <c r="D29" s="7"/>
      <c r="E29" s="7"/>
      <c r="F29" s="12"/>
      <c r="G29" s="12"/>
      <c r="H29" s="7"/>
      <c r="I29" s="7"/>
      <c r="J29" s="12"/>
      <c r="K29" s="12"/>
      <c r="L29" s="7"/>
      <c r="M29" s="7"/>
      <c r="N29" s="12"/>
      <c r="O29" s="12"/>
      <c r="P29" s="7"/>
      <c r="Q29" s="7"/>
      <c r="R29" s="7"/>
      <c r="S29" s="13"/>
      <c r="T29" s="14"/>
      <c r="U29" s="15"/>
      <c r="V29" s="16" t="str">
        <f>IF(A29="","",IF(A29="결승","PO-FINAL",IF(B29="","번호 없음",IF(A29="PO","PO-"&amp;B29&amp;"M",A29&amp;"-"&amp;B29&amp;"M"))))</f>
        <v/>
      </c>
      <c r="W29" s="16" t="str">
        <f>IF(C29="","",IFERROR(CHOOSE(WEEKDAY(C29),"일","월","화","수","목","금","토"),"날짜 확인"))</f>
        <v/>
      </c>
      <c r="X29" s="16" t="str">
        <f>IF(COUNTA(A29:R29)=0,"",IF(COUNTBLANK(A29:R29)-IF(A29="결승",IF(B29="",1,0),0)&gt;0,"빈칸 "&amp;(COUNTBLANK(A29:R29)-IF(A29="결승",IF(B29="",1,0),0))&amp;"개",IF(D29=E29,"홈·원정 같음","OK")))</f>
        <v/>
      </c>
    </row>
    <row r="30" spans="1:24" x14ac:dyDescent="0.3">
      <c r="A30" s="7"/>
      <c r="B30" s="7"/>
      <c r="C30" s="11"/>
      <c r="D30" s="7"/>
      <c r="E30" s="7"/>
      <c r="F30" s="12"/>
      <c r="G30" s="12"/>
      <c r="H30" s="7"/>
      <c r="I30" s="7"/>
      <c r="J30" s="12"/>
      <c r="K30" s="12"/>
      <c r="L30" s="7"/>
      <c r="M30" s="7"/>
      <c r="N30" s="12"/>
      <c r="O30" s="12"/>
      <c r="P30" s="7"/>
      <c r="Q30" s="7"/>
      <c r="R30" s="7"/>
      <c r="S30" s="13"/>
      <c r="T30" s="14"/>
      <c r="U30" s="15"/>
      <c r="V30" s="16" t="str">
        <f>IF(A30="","",IF(A30="결승","PO-FINAL",IF(B30="","번호 없음",IF(A30="PO","PO-"&amp;B30&amp;"M",A30&amp;"-"&amp;B30&amp;"M"))))</f>
        <v/>
      </c>
      <c r="W30" s="16" t="str">
        <f>IF(C30="","",IFERROR(CHOOSE(WEEKDAY(C30),"일","월","화","수","목","금","토"),"날짜 확인"))</f>
        <v/>
      </c>
      <c r="X30" s="16" t="str">
        <f>IF(COUNTA(A30:R30)=0,"",IF(COUNTBLANK(A30:R30)-IF(A30="결승",IF(B30="",1,0),0)&gt;0,"빈칸 "&amp;(COUNTBLANK(A30:R30)-IF(A30="결승",IF(B30="",1,0),0))&amp;"개",IF(D30=E30,"홈·원정 같음","OK")))</f>
        <v/>
      </c>
    </row>
    <row r="31" spans="1:24" x14ac:dyDescent="0.3">
      <c r="A31" s="7"/>
      <c r="B31" s="7"/>
      <c r="C31" s="11"/>
      <c r="D31" s="7"/>
      <c r="E31" s="7"/>
      <c r="F31" s="12"/>
      <c r="G31" s="12"/>
      <c r="H31" s="7"/>
      <c r="I31" s="7"/>
      <c r="J31" s="12"/>
      <c r="K31" s="12"/>
      <c r="L31" s="7"/>
      <c r="M31" s="7"/>
      <c r="N31" s="12"/>
      <c r="O31" s="12"/>
      <c r="P31" s="7"/>
      <c r="Q31" s="7"/>
      <c r="R31" s="7"/>
      <c r="S31" s="13"/>
      <c r="T31" s="14"/>
      <c r="U31" s="15"/>
      <c r="V31" s="16" t="str">
        <f>IF(A31="","",IF(A31="결승","PO-FINAL",IF(B31="","번호 없음",IF(A31="PO","PO-"&amp;B31&amp;"M",A31&amp;"-"&amp;B31&amp;"M"))))</f>
        <v/>
      </c>
      <c r="W31" s="16" t="str">
        <f>IF(C31="","",IFERROR(CHOOSE(WEEKDAY(C31),"일","월","화","수","목","금","토"),"날짜 확인"))</f>
        <v/>
      </c>
      <c r="X31" s="16" t="str">
        <f>IF(COUNTA(A31:R31)=0,"",IF(COUNTBLANK(A31:R31)-IF(A31="결승",IF(B31="",1,0),0)&gt;0,"빈칸 "&amp;(COUNTBLANK(A31:R31)-IF(A31="결승",IF(B31="",1,0),0))&amp;"개",IF(D31=E31,"홈·원정 같음","OK")))</f>
        <v/>
      </c>
    </row>
    <row r="32" spans="1:24" x14ac:dyDescent="0.3">
      <c r="A32" s="7"/>
      <c r="B32" s="7"/>
      <c r="C32" s="11"/>
      <c r="D32" s="7"/>
      <c r="E32" s="7"/>
      <c r="F32" s="12"/>
      <c r="G32" s="12"/>
      <c r="H32" s="7"/>
      <c r="I32" s="7"/>
      <c r="J32" s="12"/>
      <c r="K32" s="12"/>
      <c r="L32" s="7"/>
      <c r="M32" s="7"/>
      <c r="N32" s="12"/>
      <c r="O32" s="12"/>
      <c r="P32" s="7"/>
      <c r="Q32" s="7"/>
      <c r="R32" s="7"/>
      <c r="S32" s="13"/>
      <c r="T32" s="14"/>
      <c r="U32" s="15"/>
      <c r="V32" s="16" t="str">
        <f>IF(A32="","",IF(A32="결승","PO-FINAL",IF(B32="","번호 없음",IF(A32="PO","PO-"&amp;B32&amp;"M",A32&amp;"-"&amp;B32&amp;"M"))))</f>
        <v/>
      </c>
      <c r="W32" s="16" t="str">
        <f>IF(C32="","",IFERROR(CHOOSE(WEEKDAY(C32),"일","월","화","수","목","금","토"),"날짜 확인"))</f>
        <v/>
      </c>
      <c r="X32" s="16" t="str">
        <f>IF(COUNTA(A32:R32)=0,"",IF(COUNTBLANK(A32:R32)-IF(A32="결승",IF(B32="",1,0),0)&gt;0,"빈칸 "&amp;(COUNTBLANK(A32:R32)-IF(A32="결승",IF(B32="",1,0),0))&amp;"개",IF(D32=E32,"홈·원정 같음","OK")))</f>
        <v/>
      </c>
    </row>
    <row r="33" spans="1:24" x14ac:dyDescent="0.3">
      <c r="A33" s="7"/>
      <c r="B33" s="7"/>
      <c r="C33" s="11"/>
      <c r="D33" s="7"/>
      <c r="E33" s="7"/>
      <c r="F33" s="12"/>
      <c r="G33" s="12"/>
      <c r="H33" s="7"/>
      <c r="I33" s="7"/>
      <c r="J33" s="12"/>
      <c r="K33" s="12"/>
      <c r="L33" s="7"/>
      <c r="M33" s="7"/>
      <c r="N33" s="12"/>
      <c r="O33" s="12"/>
      <c r="P33" s="7"/>
      <c r="Q33" s="7"/>
      <c r="R33" s="7"/>
      <c r="S33" s="13"/>
      <c r="T33" s="14"/>
      <c r="U33" s="15"/>
      <c r="V33" s="16" t="str">
        <f>IF(A33="","",IF(A33="결승","PO-FINAL",IF(B33="","번호 없음",IF(A33="PO","PO-"&amp;B33&amp;"M",A33&amp;"-"&amp;B33&amp;"M"))))</f>
        <v/>
      </c>
      <c r="W33" s="16" t="str">
        <f>IF(C33="","",IFERROR(CHOOSE(WEEKDAY(C33),"일","월","화","수","목","금","토"),"날짜 확인"))</f>
        <v/>
      </c>
      <c r="X33" s="16" t="str">
        <f>IF(COUNTA(A33:R33)=0,"",IF(COUNTBLANK(A33:R33)-IF(A33="결승",IF(B33="",1,0),0)&gt;0,"빈칸 "&amp;(COUNTBLANK(A33:R33)-IF(A33="결승",IF(B33="",1,0),0))&amp;"개",IF(D33=E33,"홈·원정 같음","OK")))</f>
        <v/>
      </c>
    </row>
    <row r="34" spans="1:24" x14ac:dyDescent="0.3">
      <c r="A34" s="7"/>
      <c r="B34" s="7"/>
      <c r="C34" s="11"/>
      <c r="D34" s="7"/>
      <c r="E34" s="7"/>
      <c r="F34" s="12"/>
      <c r="G34" s="12"/>
      <c r="H34" s="7"/>
      <c r="I34" s="7"/>
      <c r="J34" s="12"/>
      <c r="K34" s="12"/>
      <c r="L34" s="7"/>
      <c r="M34" s="7"/>
      <c r="N34" s="12"/>
      <c r="O34" s="12"/>
      <c r="P34" s="7"/>
      <c r="Q34" s="7"/>
      <c r="R34" s="7"/>
      <c r="S34" s="13"/>
      <c r="T34" s="14"/>
      <c r="U34" s="15"/>
      <c r="V34" s="16" t="str">
        <f>IF(A34="","",IF(A34="결승","PO-FINAL",IF(B34="","번호 없음",IF(A34="PO","PO-"&amp;B34&amp;"M",A34&amp;"-"&amp;B34&amp;"M"))))</f>
        <v/>
      </c>
      <c r="W34" s="16" t="str">
        <f>IF(C34="","",IFERROR(CHOOSE(WEEKDAY(C34),"일","월","화","수","목","금","토"),"날짜 확인"))</f>
        <v/>
      </c>
      <c r="X34" s="16" t="str">
        <f>IF(COUNTA(A34:R34)=0,"",IF(COUNTBLANK(A34:R34)-IF(A34="결승",IF(B34="",1,0),0)&gt;0,"빈칸 "&amp;(COUNTBLANK(A34:R34)-IF(A34="결승",IF(B34="",1,0),0))&amp;"개",IF(D34=E34,"홈·원정 같음","OK")))</f>
        <v/>
      </c>
    </row>
    <row r="35" spans="1:24" x14ac:dyDescent="0.3">
      <c r="A35" s="7"/>
      <c r="B35" s="7"/>
      <c r="C35" s="11"/>
      <c r="D35" s="7"/>
      <c r="E35" s="7"/>
      <c r="F35" s="12"/>
      <c r="G35" s="12"/>
      <c r="H35" s="7"/>
      <c r="I35" s="7"/>
      <c r="J35" s="12"/>
      <c r="K35" s="12"/>
      <c r="L35" s="7"/>
      <c r="M35" s="7"/>
      <c r="N35" s="12"/>
      <c r="O35" s="12"/>
      <c r="P35" s="7"/>
      <c r="Q35" s="7"/>
      <c r="R35" s="7"/>
      <c r="S35" s="13"/>
      <c r="T35" s="14"/>
      <c r="U35" s="15"/>
      <c r="V35" s="16" t="str">
        <f>IF(A35="","",IF(A35="결승","PO-FINAL",IF(B35="","번호 없음",IF(A35="PO","PO-"&amp;B35&amp;"M",A35&amp;"-"&amp;B35&amp;"M"))))</f>
        <v/>
      </c>
      <c r="W35" s="16" t="str">
        <f>IF(C35="","",IFERROR(CHOOSE(WEEKDAY(C35),"일","월","화","수","목","금","토"),"날짜 확인"))</f>
        <v/>
      </c>
      <c r="X35" s="16" t="str">
        <f>IF(COUNTA(A35:R35)=0,"",IF(COUNTBLANK(A35:R35)-IF(A35="결승",IF(B35="",1,0),0)&gt;0,"빈칸 "&amp;(COUNTBLANK(A35:R35)-IF(A35="결승",IF(B35="",1,0),0))&amp;"개",IF(D35=E35,"홈·원정 같음","OK")))</f>
        <v/>
      </c>
    </row>
    <row r="36" spans="1:24" x14ac:dyDescent="0.3">
      <c r="A36" s="7"/>
      <c r="B36" s="7"/>
      <c r="C36" s="11"/>
      <c r="D36" s="7"/>
      <c r="E36" s="7"/>
      <c r="F36" s="12"/>
      <c r="G36" s="12"/>
      <c r="H36" s="7"/>
      <c r="I36" s="7"/>
      <c r="J36" s="12"/>
      <c r="K36" s="12"/>
      <c r="L36" s="7"/>
      <c r="M36" s="7"/>
      <c r="N36" s="12"/>
      <c r="O36" s="12"/>
      <c r="P36" s="7"/>
      <c r="Q36" s="7"/>
      <c r="R36" s="7"/>
      <c r="S36" s="13"/>
      <c r="T36" s="14"/>
      <c r="U36" s="15"/>
      <c r="V36" s="16" t="str">
        <f>IF(A36="","",IF(A36="결승","PO-FINAL",IF(B36="","번호 없음",IF(A36="PO","PO-"&amp;B36&amp;"M",A36&amp;"-"&amp;B36&amp;"M"))))</f>
        <v/>
      </c>
      <c r="W36" s="16" t="str">
        <f>IF(C36="","",IFERROR(CHOOSE(WEEKDAY(C36),"일","월","화","수","목","금","토"),"날짜 확인"))</f>
        <v/>
      </c>
      <c r="X36" s="16" t="str">
        <f>IF(COUNTA(A36:R36)=0,"",IF(COUNTBLANK(A36:R36)-IF(A36="결승",IF(B36="",1,0),0)&gt;0,"빈칸 "&amp;(COUNTBLANK(A36:R36)-IF(A36="결승",IF(B36="",1,0),0))&amp;"개",IF(D36=E36,"홈·원정 같음","OK")))</f>
        <v/>
      </c>
    </row>
    <row r="37" spans="1:24" x14ac:dyDescent="0.3">
      <c r="A37" s="7"/>
      <c r="B37" s="7"/>
      <c r="C37" s="11"/>
      <c r="D37" s="7"/>
      <c r="E37" s="7"/>
      <c r="F37" s="12"/>
      <c r="G37" s="12"/>
      <c r="H37" s="7"/>
      <c r="I37" s="7"/>
      <c r="J37" s="12"/>
      <c r="K37" s="12"/>
      <c r="L37" s="7"/>
      <c r="M37" s="7"/>
      <c r="N37" s="12"/>
      <c r="O37" s="12"/>
      <c r="P37" s="7"/>
      <c r="Q37" s="7"/>
      <c r="R37" s="7"/>
      <c r="S37" s="13"/>
      <c r="T37" s="14"/>
      <c r="U37" s="15"/>
      <c r="V37" s="16" t="str">
        <f>IF(A37="","",IF(A37="결승","PO-FINAL",IF(B37="","번호 없음",IF(A37="PO","PO-"&amp;B37&amp;"M",A37&amp;"-"&amp;B37&amp;"M"))))</f>
        <v/>
      </c>
      <c r="W37" s="16" t="str">
        <f>IF(C37="","",IFERROR(CHOOSE(WEEKDAY(C37),"일","월","화","수","목","금","토"),"날짜 확인"))</f>
        <v/>
      </c>
      <c r="X37" s="16" t="str">
        <f>IF(COUNTA(A37:R37)=0,"",IF(COUNTBLANK(A37:R37)-IF(A37="결승",IF(B37="",1,0),0)&gt;0,"빈칸 "&amp;(COUNTBLANK(A37:R37)-IF(A37="결승",IF(B37="",1,0),0))&amp;"개",IF(D37=E37,"홈·원정 같음","OK")))</f>
        <v/>
      </c>
    </row>
    <row r="38" spans="1:24" x14ac:dyDescent="0.3">
      <c r="A38" s="7"/>
      <c r="B38" s="7"/>
      <c r="C38" s="11"/>
      <c r="D38" s="7"/>
      <c r="E38" s="7"/>
      <c r="F38" s="12"/>
      <c r="G38" s="12"/>
      <c r="H38" s="7"/>
      <c r="I38" s="7"/>
      <c r="J38" s="12"/>
      <c r="K38" s="12"/>
      <c r="L38" s="7"/>
      <c r="M38" s="7"/>
      <c r="N38" s="12"/>
      <c r="O38" s="12"/>
      <c r="P38" s="7"/>
      <c r="Q38" s="7"/>
      <c r="R38" s="7"/>
      <c r="S38" s="13"/>
      <c r="T38" s="14"/>
      <c r="U38" s="15"/>
      <c r="V38" s="16" t="str">
        <f>IF(A38="","",IF(A38="결승","PO-FINAL",IF(B38="","번호 없음",IF(A38="PO","PO-"&amp;B38&amp;"M",A38&amp;"-"&amp;B38&amp;"M"))))</f>
        <v/>
      </c>
      <c r="W38" s="16" t="str">
        <f>IF(C38="","",IFERROR(CHOOSE(WEEKDAY(C38),"일","월","화","수","목","금","토"),"날짜 확인"))</f>
        <v/>
      </c>
      <c r="X38" s="16" t="str">
        <f>IF(COUNTA(A38:R38)=0,"",IF(COUNTBLANK(A38:R38)-IF(A38="결승",IF(B38="",1,0),0)&gt;0,"빈칸 "&amp;(COUNTBLANK(A38:R38)-IF(A38="결승",IF(B38="",1,0),0))&amp;"개",IF(D38=E38,"홈·원정 같음","OK")))</f>
        <v/>
      </c>
    </row>
    <row r="39" spans="1:24" x14ac:dyDescent="0.3">
      <c r="A39" s="7"/>
      <c r="B39" s="7"/>
      <c r="C39" s="11"/>
      <c r="D39" s="7"/>
      <c r="E39" s="7"/>
      <c r="F39" s="12"/>
      <c r="G39" s="12"/>
      <c r="H39" s="7"/>
      <c r="I39" s="7"/>
      <c r="J39" s="12"/>
      <c r="K39" s="12"/>
      <c r="L39" s="7"/>
      <c r="M39" s="7"/>
      <c r="N39" s="12"/>
      <c r="O39" s="12"/>
      <c r="P39" s="7"/>
      <c r="Q39" s="7"/>
      <c r="R39" s="7"/>
      <c r="S39" s="13"/>
      <c r="T39" s="14"/>
      <c r="U39" s="15"/>
      <c r="V39" s="16" t="str">
        <f>IF(A39="","",IF(A39="결승","PO-FINAL",IF(B39="","번호 없음",IF(A39="PO","PO-"&amp;B39&amp;"M",A39&amp;"-"&amp;B39&amp;"M"))))</f>
        <v/>
      </c>
      <c r="W39" s="16" t="str">
        <f>IF(C39="","",IFERROR(CHOOSE(WEEKDAY(C39),"일","월","화","수","목","금","토"),"날짜 확인"))</f>
        <v/>
      </c>
      <c r="X39" s="16" t="str">
        <f>IF(COUNTA(A39:R39)=0,"",IF(COUNTBLANK(A39:R39)-IF(A39="결승",IF(B39="",1,0),0)&gt;0,"빈칸 "&amp;(COUNTBLANK(A39:R39)-IF(A39="결승",IF(B39="",1,0),0))&amp;"개",IF(D39=E39,"홈·원정 같음","OK")))</f>
        <v/>
      </c>
    </row>
    <row r="40" spans="1:24" x14ac:dyDescent="0.3">
      <c r="A40" s="7"/>
      <c r="B40" s="7"/>
      <c r="C40" s="11"/>
      <c r="D40" s="7"/>
      <c r="E40" s="7"/>
      <c r="F40" s="12"/>
      <c r="G40" s="12"/>
      <c r="H40" s="7"/>
      <c r="I40" s="7"/>
      <c r="J40" s="12"/>
      <c r="K40" s="12"/>
      <c r="L40" s="7"/>
      <c r="M40" s="7"/>
      <c r="N40" s="12"/>
      <c r="O40" s="12"/>
      <c r="P40" s="7"/>
      <c r="Q40" s="7"/>
      <c r="R40" s="7"/>
      <c r="S40" s="13"/>
      <c r="T40" s="14"/>
      <c r="U40" s="15"/>
      <c r="V40" s="16" t="str">
        <f>IF(A40="","",IF(A40="결승","PO-FINAL",IF(B40="","번호 없음",IF(A40="PO","PO-"&amp;B40&amp;"M",A40&amp;"-"&amp;B40&amp;"M"))))</f>
        <v/>
      </c>
      <c r="W40" s="16" t="str">
        <f>IF(C40="","",IFERROR(CHOOSE(WEEKDAY(C40),"일","월","화","수","목","금","토"),"날짜 확인"))</f>
        <v/>
      </c>
      <c r="X40" s="16" t="str">
        <f>IF(COUNTA(A40:R40)=0,"",IF(COUNTBLANK(A40:R40)-IF(A40="결승",IF(B40="",1,0),0)&gt;0,"빈칸 "&amp;(COUNTBLANK(A40:R40)-IF(A40="결승",IF(B40="",1,0),0))&amp;"개",IF(D40=E40,"홈·원정 같음","OK")))</f>
        <v/>
      </c>
    </row>
    <row r="41" spans="1:24" x14ac:dyDescent="0.3">
      <c r="A41" s="7"/>
      <c r="B41" s="7"/>
      <c r="C41" s="11"/>
      <c r="D41" s="7"/>
      <c r="E41" s="7"/>
      <c r="F41" s="12"/>
      <c r="G41" s="12"/>
      <c r="H41" s="7"/>
      <c r="I41" s="7"/>
      <c r="J41" s="12"/>
      <c r="K41" s="12"/>
      <c r="L41" s="7"/>
      <c r="M41" s="7"/>
      <c r="N41" s="12"/>
      <c r="O41" s="12"/>
      <c r="P41" s="7"/>
      <c r="Q41" s="7"/>
      <c r="R41" s="7"/>
      <c r="S41" s="13"/>
      <c r="T41" s="14"/>
      <c r="U41" s="15"/>
      <c r="V41" s="16" t="str">
        <f>IF(A41="","",IF(A41="결승","PO-FINAL",IF(B41="","번호 없음",IF(A41="PO","PO-"&amp;B41&amp;"M",A41&amp;"-"&amp;B41&amp;"M"))))</f>
        <v/>
      </c>
      <c r="W41" s="16" t="str">
        <f>IF(C41="","",IFERROR(CHOOSE(WEEKDAY(C41),"일","월","화","수","목","금","토"),"날짜 확인"))</f>
        <v/>
      </c>
      <c r="X41" s="16" t="str">
        <f>IF(COUNTA(A41:R41)=0,"",IF(COUNTBLANK(A41:R41)-IF(A41="결승",IF(B41="",1,0),0)&gt;0,"빈칸 "&amp;(COUNTBLANK(A41:R41)-IF(A41="결승",IF(B41="",1,0),0))&amp;"개",IF(D41=E41,"홈·원정 같음","OK")))</f>
        <v/>
      </c>
    </row>
    <row r="42" spans="1:24" x14ac:dyDescent="0.3">
      <c r="A42" s="7"/>
      <c r="B42" s="7"/>
      <c r="C42" s="11"/>
      <c r="D42" s="7"/>
      <c r="E42" s="7"/>
      <c r="F42" s="12"/>
      <c r="G42" s="12"/>
      <c r="H42" s="7"/>
      <c r="I42" s="7"/>
      <c r="J42" s="12"/>
      <c r="K42" s="12"/>
      <c r="L42" s="7"/>
      <c r="M42" s="7"/>
      <c r="N42" s="12"/>
      <c r="O42" s="12"/>
      <c r="P42" s="7"/>
      <c r="Q42" s="7"/>
      <c r="R42" s="7"/>
      <c r="S42" s="13"/>
      <c r="T42" s="14"/>
      <c r="U42" s="15"/>
      <c r="V42" s="16" t="str">
        <f>IF(A42="","",IF(A42="결승","PO-FINAL",IF(B42="","번호 없음",IF(A42="PO","PO-"&amp;B42&amp;"M",A42&amp;"-"&amp;B42&amp;"M"))))</f>
        <v/>
      </c>
      <c r="W42" s="16" t="str">
        <f>IF(C42="","",IFERROR(CHOOSE(WEEKDAY(C42),"일","월","화","수","목","금","토"),"날짜 확인"))</f>
        <v/>
      </c>
      <c r="X42" s="16" t="str">
        <f>IF(COUNTA(A42:R42)=0,"",IF(COUNTBLANK(A42:R42)-IF(A42="결승",IF(B42="",1,0),0)&gt;0,"빈칸 "&amp;(COUNTBLANK(A42:R42)-IF(A42="결승",IF(B42="",1,0),0))&amp;"개",IF(D42=E42,"홈·원정 같음","OK")))</f>
        <v/>
      </c>
    </row>
    <row r="43" spans="1:24" x14ac:dyDescent="0.3">
      <c r="A43" s="7"/>
      <c r="B43" s="7"/>
      <c r="C43" s="11"/>
      <c r="D43" s="7"/>
      <c r="E43" s="7"/>
      <c r="F43" s="12"/>
      <c r="G43" s="12"/>
      <c r="H43" s="7"/>
      <c r="I43" s="7"/>
      <c r="J43" s="12"/>
      <c r="K43" s="12"/>
      <c r="L43" s="7"/>
      <c r="M43" s="7"/>
      <c r="N43" s="12"/>
      <c r="O43" s="12"/>
      <c r="P43" s="7"/>
      <c r="Q43" s="7"/>
      <c r="R43" s="7"/>
      <c r="S43" s="13"/>
      <c r="T43" s="14"/>
      <c r="U43" s="15"/>
      <c r="V43" s="16" t="str">
        <f>IF(A43="","",IF(A43="결승","PO-FINAL",IF(B43="","번호 없음",IF(A43="PO","PO-"&amp;B43&amp;"M",A43&amp;"-"&amp;B43&amp;"M"))))</f>
        <v/>
      </c>
      <c r="W43" s="16" t="str">
        <f>IF(C43="","",IFERROR(CHOOSE(WEEKDAY(C43),"일","월","화","수","목","금","토"),"날짜 확인"))</f>
        <v/>
      </c>
      <c r="X43" s="16" t="str">
        <f>IF(COUNTA(A43:R43)=0,"",IF(COUNTBLANK(A43:R43)-IF(A43="결승",IF(B43="",1,0),0)&gt;0,"빈칸 "&amp;(COUNTBLANK(A43:R43)-IF(A43="결승",IF(B43="",1,0),0))&amp;"개",IF(D43=E43,"홈·원정 같음","OK")))</f>
        <v/>
      </c>
    </row>
    <row r="44" spans="1:24" x14ac:dyDescent="0.3">
      <c r="A44" s="7"/>
      <c r="B44" s="7"/>
      <c r="C44" s="11"/>
      <c r="D44" s="7"/>
      <c r="E44" s="7"/>
      <c r="F44" s="12"/>
      <c r="G44" s="12"/>
      <c r="H44" s="7"/>
      <c r="I44" s="7"/>
      <c r="J44" s="12"/>
      <c r="K44" s="12"/>
      <c r="L44" s="7"/>
      <c r="M44" s="7"/>
      <c r="N44" s="12"/>
      <c r="O44" s="12"/>
      <c r="P44" s="7"/>
      <c r="Q44" s="7"/>
      <c r="R44" s="7"/>
      <c r="S44" s="13"/>
      <c r="T44" s="14"/>
      <c r="U44" s="15"/>
      <c r="V44" s="16" t="str">
        <f>IF(A44="","",IF(A44="결승","PO-FINAL",IF(B44="","번호 없음",IF(A44="PO","PO-"&amp;B44&amp;"M",A44&amp;"-"&amp;B44&amp;"M"))))</f>
        <v/>
      </c>
      <c r="W44" s="16" t="str">
        <f>IF(C44="","",IFERROR(CHOOSE(WEEKDAY(C44),"일","월","화","수","목","금","토"),"날짜 확인"))</f>
        <v/>
      </c>
      <c r="X44" s="16" t="str">
        <f>IF(COUNTA(A44:R44)=0,"",IF(COUNTBLANK(A44:R44)-IF(A44="결승",IF(B44="",1,0),0)&gt;0,"빈칸 "&amp;(COUNTBLANK(A44:R44)-IF(A44="결승",IF(B44="",1,0),0))&amp;"개",IF(D44=E44,"홈·원정 같음","OK")))</f>
        <v/>
      </c>
    </row>
    <row r="45" spans="1:24" x14ac:dyDescent="0.3">
      <c r="A45" s="7"/>
      <c r="B45" s="7"/>
      <c r="C45" s="11"/>
      <c r="D45" s="7"/>
      <c r="E45" s="7"/>
      <c r="F45" s="12"/>
      <c r="G45" s="12"/>
      <c r="H45" s="7"/>
      <c r="I45" s="7"/>
      <c r="J45" s="12"/>
      <c r="K45" s="12"/>
      <c r="L45" s="7"/>
      <c r="M45" s="7"/>
      <c r="N45" s="12"/>
      <c r="O45" s="12"/>
      <c r="P45" s="7"/>
      <c r="Q45" s="7"/>
      <c r="R45" s="7"/>
      <c r="S45" s="13"/>
      <c r="T45" s="14"/>
      <c r="U45" s="15"/>
      <c r="V45" s="16" t="str">
        <f>IF(A45="","",IF(A45="결승","PO-FINAL",IF(B45="","번호 없음",IF(A45="PO","PO-"&amp;B45&amp;"M",A45&amp;"-"&amp;B45&amp;"M"))))</f>
        <v/>
      </c>
      <c r="W45" s="16" t="str">
        <f>IF(C45="","",IFERROR(CHOOSE(WEEKDAY(C45),"일","월","화","수","목","금","토"),"날짜 확인"))</f>
        <v/>
      </c>
      <c r="X45" s="16" t="str">
        <f>IF(COUNTA(A45:R45)=0,"",IF(COUNTBLANK(A45:R45)-IF(A45="결승",IF(B45="",1,0),0)&gt;0,"빈칸 "&amp;(COUNTBLANK(A45:R45)-IF(A45="결승",IF(B45="",1,0),0))&amp;"개",IF(D45=E45,"홈·원정 같음","OK")))</f>
        <v/>
      </c>
    </row>
    <row r="46" spans="1:24" x14ac:dyDescent="0.3">
      <c r="A46" s="7"/>
      <c r="B46" s="7"/>
      <c r="C46" s="11"/>
      <c r="D46" s="7"/>
      <c r="E46" s="7"/>
      <c r="F46" s="12"/>
      <c r="G46" s="12"/>
      <c r="H46" s="7"/>
      <c r="I46" s="7"/>
      <c r="J46" s="12"/>
      <c r="K46" s="12"/>
      <c r="L46" s="7"/>
      <c r="M46" s="7"/>
      <c r="N46" s="12"/>
      <c r="O46" s="12"/>
      <c r="P46" s="7"/>
      <c r="Q46" s="7"/>
      <c r="R46" s="7"/>
      <c r="S46" s="13"/>
      <c r="T46" s="14"/>
      <c r="U46" s="15"/>
      <c r="V46" s="16" t="str">
        <f>IF(A46="","",IF(A46="결승","PO-FINAL",IF(B46="","번호 없음",IF(A46="PO","PO-"&amp;B46&amp;"M",A46&amp;"-"&amp;B46&amp;"M"))))</f>
        <v/>
      </c>
      <c r="W46" s="16" t="str">
        <f>IF(C46="","",IFERROR(CHOOSE(WEEKDAY(C46),"일","월","화","수","목","금","토"),"날짜 확인"))</f>
        <v/>
      </c>
      <c r="X46" s="16" t="str">
        <f>IF(COUNTA(A46:R46)=0,"",IF(COUNTBLANK(A46:R46)-IF(A46="결승",IF(B46="",1,0),0)&gt;0,"빈칸 "&amp;(COUNTBLANK(A46:R46)-IF(A46="결승",IF(B46="",1,0),0))&amp;"개",IF(D46=E46,"홈·원정 같음","OK")))</f>
        <v/>
      </c>
    </row>
    <row r="47" spans="1:24" x14ac:dyDescent="0.3">
      <c r="A47" s="7"/>
      <c r="B47" s="7"/>
      <c r="C47" s="11"/>
      <c r="D47" s="7"/>
      <c r="E47" s="7"/>
      <c r="F47" s="12"/>
      <c r="G47" s="12"/>
      <c r="H47" s="7"/>
      <c r="I47" s="7"/>
      <c r="J47" s="12"/>
      <c r="K47" s="12"/>
      <c r="L47" s="7"/>
      <c r="M47" s="7"/>
      <c r="N47" s="12"/>
      <c r="O47" s="12"/>
      <c r="P47" s="7"/>
      <c r="Q47" s="7"/>
      <c r="R47" s="7"/>
      <c r="S47" s="13"/>
      <c r="T47" s="14"/>
      <c r="U47" s="15"/>
      <c r="V47" s="16" t="str">
        <f>IF(A47="","",IF(A47="결승","PO-FINAL",IF(B47="","번호 없음",IF(A47="PO","PO-"&amp;B47&amp;"M",A47&amp;"-"&amp;B47&amp;"M"))))</f>
        <v/>
      </c>
      <c r="W47" s="16" t="str">
        <f>IF(C47="","",IFERROR(CHOOSE(WEEKDAY(C47),"일","월","화","수","목","금","토"),"날짜 확인"))</f>
        <v/>
      </c>
      <c r="X47" s="16" t="str">
        <f>IF(COUNTA(A47:R47)=0,"",IF(COUNTBLANK(A47:R47)-IF(A47="결승",IF(B47="",1,0),0)&gt;0,"빈칸 "&amp;(COUNTBLANK(A47:R47)-IF(A47="결승",IF(B47="",1,0),0))&amp;"개",IF(D47=E47,"홈·원정 같음","OK")))</f>
        <v/>
      </c>
    </row>
    <row r="48" spans="1:24" x14ac:dyDescent="0.3">
      <c r="A48" s="7"/>
      <c r="B48" s="7"/>
      <c r="C48" s="11"/>
      <c r="D48" s="7"/>
      <c r="E48" s="7"/>
      <c r="F48" s="12"/>
      <c r="G48" s="12"/>
      <c r="H48" s="7"/>
      <c r="I48" s="7"/>
      <c r="J48" s="12"/>
      <c r="K48" s="12"/>
      <c r="L48" s="7"/>
      <c r="M48" s="7"/>
      <c r="N48" s="12"/>
      <c r="O48" s="12"/>
      <c r="P48" s="7"/>
      <c r="Q48" s="7"/>
      <c r="R48" s="7"/>
      <c r="S48" s="13"/>
      <c r="T48" s="14"/>
      <c r="U48" s="15"/>
      <c r="V48" s="16" t="str">
        <f>IF(A48="","",IF(A48="결승","PO-FINAL",IF(B48="","번호 없음",IF(A48="PO","PO-"&amp;B48&amp;"M",A48&amp;"-"&amp;B48&amp;"M"))))</f>
        <v/>
      </c>
      <c r="W48" s="16" t="str">
        <f>IF(C48="","",IFERROR(CHOOSE(WEEKDAY(C48),"일","월","화","수","목","금","토"),"날짜 확인"))</f>
        <v/>
      </c>
      <c r="X48" s="16" t="str">
        <f>IF(COUNTA(A48:R48)=0,"",IF(COUNTBLANK(A48:R48)-IF(A48="결승",IF(B48="",1,0),0)&gt;0,"빈칸 "&amp;(COUNTBLANK(A48:R48)-IF(A48="결승",IF(B48="",1,0),0))&amp;"개",IF(D48=E48,"홈·원정 같음","OK")))</f>
        <v/>
      </c>
    </row>
    <row r="49" spans="1:24" x14ac:dyDescent="0.3">
      <c r="A49" s="7"/>
      <c r="B49" s="7"/>
      <c r="C49" s="11"/>
      <c r="D49" s="7"/>
      <c r="E49" s="7"/>
      <c r="F49" s="12"/>
      <c r="G49" s="12"/>
      <c r="H49" s="7"/>
      <c r="I49" s="7"/>
      <c r="J49" s="12"/>
      <c r="K49" s="12"/>
      <c r="L49" s="7"/>
      <c r="M49" s="7"/>
      <c r="N49" s="12"/>
      <c r="O49" s="12"/>
      <c r="P49" s="7"/>
      <c r="Q49" s="7"/>
      <c r="R49" s="7"/>
      <c r="S49" s="13"/>
      <c r="T49" s="14"/>
      <c r="U49" s="15"/>
      <c r="V49" s="16" t="str">
        <f>IF(A49="","",IF(A49="결승","PO-FINAL",IF(B49="","번호 없음",IF(A49="PO","PO-"&amp;B49&amp;"M",A49&amp;"-"&amp;B49&amp;"M"))))</f>
        <v/>
      </c>
      <c r="W49" s="16" t="str">
        <f>IF(C49="","",IFERROR(CHOOSE(WEEKDAY(C49),"일","월","화","수","목","금","토"),"날짜 확인"))</f>
        <v/>
      </c>
      <c r="X49" s="16" t="str">
        <f>IF(COUNTA(A49:R49)=0,"",IF(COUNTBLANK(A49:R49)-IF(A49="결승",IF(B49="",1,0),0)&gt;0,"빈칸 "&amp;(COUNTBLANK(A49:R49)-IF(A49="결승",IF(B49="",1,0),0))&amp;"개",IF(D49=E49,"홈·원정 같음","OK")))</f>
        <v/>
      </c>
    </row>
    <row r="50" spans="1:24" x14ac:dyDescent="0.3">
      <c r="A50" s="7"/>
      <c r="B50" s="7"/>
      <c r="C50" s="11"/>
      <c r="D50" s="7"/>
      <c r="E50" s="7"/>
      <c r="F50" s="12"/>
      <c r="G50" s="12"/>
      <c r="H50" s="7"/>
      <c r="I50" s="7"/>
      <c r="J50" s="12"/>
      <c r="K50" s="12"/>
      <c r="L50" s="7"/>
      <c r="M50" s="7"/>
      <c r="N50" s="12"/>
      <c r="O50" s="12"/>
      <c r="P50" s="7"/>
      <c r="Q50" s="7"/>
      <c r="R50" s="7"/>
      <c r="S50" s="13"/>
      <c r="T50" s="14"/>
      <c r="U50" s="15"/>
      <c r="V50" s="16" t="str">
        <f>IF(A50="","",IF(A50="결승","PO-FINAL",IF(B50="","번호 없음",IF(A50="PO","PO-"&amp;B50&amp;"M",A50&amp;"-"&amp;B50&amp;"M"))))</f>
        <v/>
      </c>
      <c r="W50" s="16" t="str">
        <f>IF(C50="","",IFERROR(CHOOSE(WEEKDAY(C50),"일","월","화","수","목","금","토"),"날짜 확인"))</f>
        <v/>
      </c>
      <c r="X50" s="16" t="str">
        <f>IF(COUNTA(A50:R50)=0,"",IF(COUNTBLANK(A50:R50)-IF(A50="결승",IF(B50="",1,0),0)&gt;0,"빈칸 "&amp;(COUNTBLANK(A50:R50)-IF(A50="결승",IF(B50="",1,0),0))&amp;"개",IF(D50=E50,"홈·원정 같음","OK")))</f>
        <v/>
      </c>
    </row>
    <row r="51" spans="1:24" x14ac:dyDescent="0.3">
      <c r="A51" s="7"/>
      <c r="B51" s="7"/>
      <c r="C51" s="11"/>
      <c r="D51" s="7"/>
      <c r="E51" s="7"/>
      <c r="F51" s="12"/>
      <c r="G51" s="12"/>
      <c r="H51" s="7"/>
      <c r="I51" s="7"/>
      <c r="J51" s="12"/>
      <c r="K51" s="12"/>
      <c r="L51" s="7"/>
      <c r="M51" s="7"/>
      <c r="N51" s="12"/>
      <c r="O51" s="12"/>
      <c r="P51" s="7"/>
      <c r="Q51" s="7"/>
      <c r="R51" s="7"/>
      <c r="S51" s="13"/>
      <c r="T51" s="14"/>
      <c r="U51" s="15"/>
      <c r="V51" s="16" t="str">
        <f>IF(A51="","",IF(A51="결승","PO-FINAL",IF(B51="","번호 없음",IF(A51="PO","PO-"&amp;B51&amp;"M",A51&amp;"-"&amp;B51&amp;"M"))))</f>
        <v/>
      </c>
      <c r="W51" s="16" t="str">
        <f>IF(C51="","",IFERROR(CHOOSE(WEEKDAY(C51),"일","월","화","수","목","금","토"),"날짜 확인"))</f>
        <v/>
      </c>
      <c r="X51" s="16" t="str">
        <f>IF(COUNTA(A51:R51)=0,"",IF(COUNTBLANK(A51:R51)-IF(A51="결승",IF(B51="",1,0),0)&gt;0,"빈칸 "&amp;(COUNTBLANK(A51:R51)-IF(A51="결승",IF(B51="",1,0),0))&amp;"개",IF(D51=E51,"홈·원정 같음","OK")))</f>
        <v/>
      </c>
    </row>
    <row r="52" spans="1:24" x14ac:dyDescent="0.3">
      <c r="A52" s="7"/>
      <c r="B52" s="7"/>
      <c r="C52" s="11"/>
      <c r="D52" s="7"/>
      <c r="E52" s="7"/>
      <c r="F52" s="12"/>
      <c r="G52" s="12"/>
      <c r="H52" s="7"/>
      <c r="I52" s="7"/>
      <c r="J52" s="12"/>
      <c r="K52" s="12"/>
      <c r="L52" s="7"/>
      <c r="M52" s="7"/>
      <c r="N52" s="12"/>
      <c r="O52" s="12"/>
      <c r="P52" s="7"/>
      <c r="Q52" s="7"/>
      <c r="R52" s="7"/>
      <c r="S52" s="13"/>
      <c r="T52" s="14"/>
      <c r="U52" s="15"/>
      <c r="V52" s="16" t="str">
        <f>IF(A52="","",IF(A52="결승","PO-FINAL",IF(B52="","번호 없음",IF(A52="PO","PO-"&amp;B52&amp;"M",A52&amp;"-"&amp;B52&amp;"M"))))</f>
        <v/>
      </c>
      <c r="W52" s="16" t="str">
        <f>IF(C52="","",IFERROR(CHOOSE(WEEKDAY(C52),"일","월","화","수","목","금","토"),"날짜 확인"))</f>
        <v/>
      </c>
      <c r="X52" s="16" t="str">
        <f>IF(COUNTA(A52:R52)=0,"",IF(COUNTBLANK(A52:R52)-IF(A52="결승",IF(B52="",1,0),0)&gt;0,"빈칸 "&amp;(COUNTBLANK(A52:R52)-IF(A52="결승",IF(B52="",1,0),0))&amp;"개",IF(D52=E52,"홈·원정 같음","OK")))</f>
        <v/>
      </c>
    </row>
    <row r="53" spans="1:24" x14ac:dyDescent="0.3">
      <c r="A53" s="7"/>
      <c r="B53" s="7"/>
      <c r="C53" s="11"/>
      <c r="D53" s="7"/>
      <c r="E53" s="7"/>
      <c r="F53" s="12"/>
      <c r="G53" s="12"/>
      <c r="H53" s="7"/>
      <c r="I53" s="7"/>
      <c r="J53" s="12"/>
      <c r="K53" s="12"/>
      <c r="L53" s="7"/>
      <c r="M53" s="7"/>
      <c r="N53" s="12"/>
      <c r="O53" s="12"/>
      <c r="P53" s="7"/>
      <c r="Q53" s="7"/>
      <c r="R53" s="7"/>
      <c r="S53" s="13"/>
      <c r="T53" s="14"/>
      <c r="U53" s="15"/>
      <c r="V53" s="16" t="str">
        <f>IF(A53="","",IF(A53="결승","PO-FINAL",IF(B53="","번호 없음",IF(A53="PO","PO-"&amp;B53&amp;"M",A53&amp;"-"&amp;B53&amp;"M"))))</f>
        <v/>
      </c>
      <c r="W53" s="16" t="str">
        <f>IF(C53="","",IFERROR(CHOOSE(WEEKDAY(C53),"일","월","화","수","목","금","토"),"날짜 확인"))</f>
        <v/>
      </c>
      <c r="X53" s="16" t="str">
        <f>IF(COUNTA(A53:R53)=0,"",IF(COUNTBLANK(A53:R53)-IF(A53="결승",IF(B53="",1,0),0)&gt;0,"빈칸 "&amp;(COUNTBLANK(A53:R53)-IF(A53="결승",IF(B53="",1,0),0))&amp;"개",IF(D53=E53,"홈·원정 같음","OK")))</f>
        <v/>
      </c>
    </row>
    <row r="54" spans="1:24" x14ac:dyDescent="0.3">
      <c r="A54" s="7"/>
      <c r="B54" s="7"/>
      <c r="C54" s="11"/>
      <c r="D54" s="7"/>
      <c r="E54" s="7"/>
      <c r="F54" s="12"/>
      <c r="G54" s="12"/>
      <c r="H54" s="7"/>
      <c r="I54" s="7"/>
      <c r="J54" s="12"/>
      <c r="K54" s="12"/>
      <c r="L54" s="7"/>
      <c r="M54" s="7"/>
      <c r="N54" s="12"/>
      <c r="O54" s="12"/>
      <c r="P54" s="7"/>
      <c r="Q54" s="7"/>
      <c r="R54" s="7"/>
      <c r="S54" s="13"/>
      <c r="T54" s="14"/>
      <c r="U54" s="15"/>
      <c r="V54" s="16" t="str">
        <f>IF(A54="","",IF(A54="결승","PO-FINAL",IF(B54="","번호 없음",IF(A54="PO","PO-"&amp;B54&amp;"M",A54&amp;"-"&amp;B54&amp;"M"))))</f>
        <v/>
      </c>
      <c r="W54" s="16" t="str">
        <f>IF(C54="","",IFERROR(CHOOSE(WEEKDAY(C54),"일","월","화","수","목","금","토"),"날짜 확인"))</f>
        <v/>
      </c>
      <c r="X54" s="16" t="str">
        <f>IF(COUNTA(A54:R54)=0,"",IF(COUNTBLANK(A54:R54)-IF(A54="결승",IF(B54="",1,0),0)&gt;0,"빈칸 "&amp;(COUNTBLANK(A54:R54)-IF(A54="결승",IF(B54="",1,0),0))&amp;"개",IF(D54=E54,"홈·원정 같음","OK")))</f>
        <v/>
      </c>
    </row>
    <row r="55" spans="1:24" x14ac:dyDescent="0.3">
      <c r="A55" s="7"/>
      <c r="B55" s="7"/>
      <c r="C55" s="11"/>
      <c r="D55" s="7"/>
      <c r="E55" s="7"/>
      <c r="F55" s="12"/>
      <c r="G55" s="12"/>
      <c r="H55" s="7"/>
      <c r="I55" s="7"/>
      <c r="J55" s="12"/>
      <c r="K55" s="12"/>
      <c r="L55" s="7"/>
      <c r="M55" s="7"/>
      <c r="N55" s="12"/>
      <c r="O55" s="12"/>
      <c r="P55" s="7"/>
      <c r="Q55" s="7"/>
      <c r="R55" s="7"/>
      <c r="S55" s="13"/>
      <c r="T55" s="14"/>
      <c r="U55" s="15"/>
      <c r="V55" s="16" t="str">
        <f>IF(A55="","",IF(A55="결승","PO-FINAL",IF(B55="","번호 없음",IF(A55="PO","PO-"&amp;B55&amp;"M",A55&amp;"-"&amp;B55&amp;"M"))))</f>
        <v/>
      </c>
      <c r="W55" s="16" t="str">
        <f>IF(C55="","",IFERROR(CHOOSE(WEEKDAY(C55),"일","월","화","수","목","금","토"),"날짜 확인"))</f>
        <v/>
      </c>
      <c r="X55" s="16" t="str">
        <f>IF(COUNTA(A55:R55)=0,"",IF(COUNTBLANK(A55:R55)-IF(A55="결승",IF(B55="",1,0),0)&gt;0,"빈칸 "&amp;(COUNTBLANK(A55:R55)-IF(A55="결승",IF(B55="",1,0),0))&amp;"개",IF(D55=E55,"홈·원정 같음","OK")))</f>
        <v/>
      </c>
    </row>
    <row r="56" spans="1:24" x14ac:dyDescent="0.3">
      <c r="A56" s="7"/>
      <c r="B56" s="7"/>
      <c r="C56" s="11"/>
      <c r="D56" s="7"/>
      <c r="E56" s="7"/>
      <c r="F56" s="12"/>
      <c r="G56" s="12"/>
      <c r="H56" s="7"/>
      <c r="I56" s="7"/>
      <c r="J56" s="12"/>
      <c r="K56" s="12"/>
      <c r="L56" s="7"/>
      <c r="M56" s="7"/>
      <c r="N56" s="12"/>
      <c r="O56" s="12"/>
      <c r="P56" s="7"/>
      <c r="Q56" s="7"/>
      <c r="R56" s="7"/>
      <c r="S56" s="13"/>
      <c r="T56" s="14"/>
      <c r="U56" s="15"/>
      <c r="V56" s="16" t="str">
        <f>IF(A56="","",IF(A56="결승","PO-FINAL",IF(B56="","번호 없음",IF(A56="PO","PO-"&amp;B56&amp;"M",A56&amp;"-"&amp;B56&amp;"M"))))</f>
        <v/>
      </c>
      <c r="W56" s="16" t="str">
        <f>IF(C56="","",IFERROR(CHOOSE(WEEKDAY(C56),"일","월","화","수","목","금","토"),"날짜 확인"))</f>
        <v/>
      </c>
      <c r="X56" s="16" t="str">
        <f>IF(COUNTA(A56:R56)=0,"",IF(COUNTBLANK(A56:R56)-IF(A56="결승",IF(B56="",1,0),0)&gt;0,"빈칸 "&amp;(COUNTBLANK(A56:R56)-IF(A56="결승",IF(B56="",1,0),0))&amp;"개",IF(D56=E56,"홈·원정 같음","OK")))</f>
        <v/>
      </c>
    </row>
    <row r="57" spans="1:24" x14ac:dyDescent="0.3">
      <c r="A57" s="7"/>
      <c r="B57" s="7"/>
      <c r="C57" s="11"/>
      <c r="D57" s="7"/>
      <c r="E57" s="7"/>
      <c r="F57" s="12"/>
      <c r="G57" s="12"/>
      <c r="H57" s="7"/>
      <c r="I57" s="7"/>
      <c r="J57" s="12"/>
      <c r="K57" s="12"/>
      <c r="L57" s="7"/>
      <c r="M57" s="7"/>
      <c r="N57" s="12"/>
      <c r="O57" s="12"/>
      <c r="P57" s="7"/>
      <c r="Q57" s="7"/>
      <c r="R57" s="7"/>
      <c r="S57" s="13"/>
      <c r="T57" s="14"/>
      <c r="U57" s="15"/>
      <c r="V57" s="16" t="str">
        <f>IF(A57="","",IF(A57="결승","PO-FINAL",IF(B57="","번호 없음",IF(A57="PO","PO-"&amp;B57&amp;"M",A57&amp;"-"&amp;B57&amp;"M"))))</f>
        <v/>
      </c>
      <c r="W57" s="16" t="str">
        <f>IF(C57="","",IFERROR(CHOOSE(WEEKDAY(C57),"일","월","화","수","목","금","토"),"날짜 확인"))</f>
        <v/>
      </c>
      <c r="X57" s="16" t="str">
        <f>IF(COUNTA(A57:R57)=0,"",IF(COUNTBLANK(A57:R57)-IF(A57="결승",IF(B57="",1,0),0)&gt;0,"빈칸 "&amp;(COUNTBLANK(A57:R57)-IF(A57="결승",IF(B57="",1,0),0))&amp;"개",IF(D57=E57,"홈·원정 같음","OK")))</f>
        <v/>
      </c>
    </row>
    <row r="58" spans="1:24" x14ac:dyDescent="0.3">
      <c r="A58" s="7"/>
      <c r="B58" s="7"/>
      <c r="C58" s="11"/>
      <c r="D58" s="7"/>
      <c r="E58" s="7"/>
      <c r="F58" s="12"/>
      <c r="G58" s="12"/>
      <c r="H58" s="7"/>
      <c r="I58" s="7"/>
      <c r="J58" s="12"/>
      <c r="K58" s="12"/>
      <c r="L58" s="7"/>
      <c r="M58" s="7"/>
      <c r="N58" s="12"/>
      <c r="O58" s="12"/>
      <c r="P58" s="7"/>
      <c r="Q58" s="7"/>
      <c r="R58" s="7"/>
      <c r="S58" s="13"/>
      <c r="T58" s="14"/>
      <c r="U58" s="15"/>
      <c r="V58" s="16" t="str">
        <f>IF(A58="","",IF(A58="결승","PO-FINAL",IF(B58="","번호 없음",IF(A58="PO","PO-"&amp;B58&amp;"M",A58&amp;"-"&amp;B58&amp;"M"))))</f>
        <v/>
      </c>
      <c r="W58" s="16" t="str">
        <f>IF(C58="","",IFERROR(CHOOSE(WEEKDAY(C58),"일","월","화","수","목","금","토"),"날짜 확인"))</f>
        <v/>
      </c>
      <c r="X58" s="16" t="str">
        <f>IF(COUNTA(A58:R58)=0,"",IF(COUNTBLANK(A58:R58)-IF(A58="결승",IF(B58="",1,0),0)&gt;0,"빈칸 "&amp;(COUNTBLANK(A58:R58)-IF(A58="결승",IF(B58="",1,0),0))&amp;"개",IF(D58=E58,"홈·원정 같음","OK")))</f>
        <v/>
      </c>
    </row>
    <row r="59" spans="1:24" x14ac:dyDescent="0.3">
      <c r="A59" s="7"/>
      <c r="B59" s="7"/>
      <c r="C59" s="11"/>
      <c r="D59" s="7"/>
      <c r="E59" s="7"/>
      <c r="F59" s="12"/>
      <c r="G59" s="12"/>
      <c r="H59" s="7"/>
      <c r="I59" s="7"/>
      <c r="J59" s="12"/>
      <c r="K59" s="12"/>
      <c r="L59" s="7"/>
      <c r="M59" s="7"/>
      <c r="N59" s="12"/>
      <c r="O59" s="12"/>
      <c r="P59" s="7"/>
      <c r="Q59" s="7"/>
      <c r="R59" s="7"/>
      <c r="S59" s="13"/>
      <c r="T59" s="14"/>
      <c r="U59" s="15"/>
      <c r="V59" s="16" t="str">
        <f>IF(A59="","",IF(A59="결승","PO-FINAL",IF(B59="","번호 없음",IF(A59="PO","PO-"&amp;B59&amp;"M",A59&amp;"-"&amp;B59&amp;"M"))))</f>
        <v/>
      </c>
      <c r="W59" s="16" t="str">
        <f>IF(C59="","",IFERROR(CHOOSE(WEEKDAY(C59),"일","월","화","수","목","금","토"),"날짜 확인"))</f>
        <v/>
      </c>
      <c r="X59" s="16" t="str">
        <f>IF(COUNTA(A59:R59)=0,"",IF(COUNTBLANK(A59:R59)-IF(A59="결승",IF(B59="",1,0),0)&gt;0,"빈칸 "&amp;(COUNTBLANK(A59:R59)-IF(A59="결승",IF(B59="",1,0),0))&amp;"개",IF(D59=E59,"홈·원정 같음","OK")))</f>
        <v/>
      </c>
    </row>
    <row r="60" spans="1:24" x14ac:dyDescent="0.3">
      <c r="A60" s="7"/>
      <c r="B60" s="7"/>
      <c r="C60" s="11"/>
      <c r="D60" s="7"/>
      <c r="E60" s="7"/>
      <c r="F60" s="12"/>
      <c r="G60" s="12"/>
      <c r="H60" s="7"/>
      <c r="I60" s="7"/>
      <c r="J60" s="12"/>
      <c r="K60" s="12"/>
      <c r="L60" s="7"/>
      <c r="M60" s="7"/>
      <c r="N60" s="12"/>
      <c r="O60" s="12"/>
      <c r="P60" s="7"/>
      <c r="Q60" s="7"/>
      <c r="R60" s="7"/>
      <c r="S60" s="13"/>
      <c r="T60" s="14"/>
      <c r="U60" s="15"/>
      <c r="V60" s="16" t="str">
        <f>IF(A60="","",IF(A60="결승","PO-FINAL",IF(B60="","번호 없음",IF(A60="PO","PO-"&amp;B60&amp;"M",A60&amp;"-"&amp;B60&amp;"M"))))</f>
        <v/>
      </c>
      <c r="W60" s="16" t="str">
        <f>IF(C60="","",IFERROR(CHOOSE(WEEKDAY(C60),"일","월","화","수","목","금","토"),"날짜 확인"))</f>
        <v/>
      </c>
      <c r="X60" s="16" t="str">
        <f>IF(COUNTA(A60:R60)=0,"",IF(COUNTBLANK(A60:R60)-IF(A60="결승",IF(B60="",1,0),0)&gt;0,"빈칸 "&amp;(COUNTBLANK(A60:R60)-IF(A60="결승",IF(B60="",1,0),0))&amp;"개",IF(D60=E60,"홈·원정 같음","OK")))</f>
        <v/>
      </c>
    </row>
    <row r="61" spans="1:24" x14ac:dyDescent="0.3">
      <c r="A61" s="7"/>
      <c r="B61" s="7"/>
      <c r="C61" s="11"/>
      <c r="D61" s="7"/>
      <c r="E61" s="7"/>
      <c r="F61" s="12"/>
      <c r="G61" s="12"/>
      <c r="H61" s="7"/>
      <c r="I61" s="7"/>
      <c r="J61" s="12"/>
      <c r="K61" s="12"/>
      <c r="L61" s="7"/>
      <c r="M61" s="7"/>
      <c r="N61" s="12"/>
      <c r="O61" s="12"/>
      <c r="P61" s="7"/>
      <c r="Q61" s="7"/>
      <c r="R61" s="7"/>
      <c r="S61" s="13"/>
      <c r="T61" s="14"/>
      <c r="U61" s="15"/>
      <c r="V61" s="16" t="str">
        <f>IF(A61="","",IF(A61="결승","PO-FINAL",IF(B61="","번호 없음",IF(A61="PO","PO-"&amp;B61&amp;"M",A61&amp;"-"&amp;B61&amp;"M"))))</f>
        <v/>
      </c>
      <c r="W61" s="16" t="str">
        <f>IF(C61="","",IFERROR(CHOOSE(WEEKDAY(C61),"일","월","화","수","목","금","토"),"날짜 확인"))</f>
        <v/>
      </c>
      <c r="X61" s="16" t="str">
        <f>IF(COUNTA(A61:R61)=0,"",IF(COUNTBLANK(A61:R61)-IF(A61="결승",IF(B61="",1,0),0)&gt;0,"빈칸 "&amp;(COUNTBLANK(A61:R61)-IF(A61="결승",IF(B61="",1,0),0))&amp;"개",IF(D61=E61,"홈·원정 같음","OK")))</f>
        <v/>
      </c>
    </row>
    <row r="62" spans="1:24" x14ac:dyDescent="0.3">
      <c r="A62" s="7"/>
      <c r="B62" s="7"/>
      <c r="C62" s="11"/>
      <c r="D62" s="7"/>
      <c r="E62" s="7"/>
      <c r="F62" s="12"/>
      <c r="G62" s="12"/>
      <c r="H62" s="7"/>
      <c r="I62" s="7"/>
      <c r="J62" s="12"/>
      <c r="K62" s="12"/>
      <c r="L62" s="7"/>
      <c r="M62" s="7"/>
      <c r="N62" s="12"/>
      <c r="O62" s="12"/>
      <c r="P62" s="7"/>
      <c r="Q62" s="7"/>
      <c r="R62" s="7"/>
      <c r="S62" s="13"/>
      <c r="T62" s="14"/>
      <c r="U62" s="15"/>
      <c r="V62" s="16" t="str">
        <f>IF(A62="","",IF(A62="결승","PO-FINAL",IF(B62="","번호 없음",IF(A62="PO","PO-"&amp;B62&amp;"M",A62&amp;"-"&amp;B62&amp;"M"))))</f>
        <v/>
      </c>
      <c r="W62" s="16" t="str">
        <f>IF(C62="","",IFERROR(CHOOSE(WEEKDAY(C62),"일","월","화","수","목","금","토"),"날짜 확인"))</f>
        <v/>
      </c>
      <c r="X62" s="16" t="str">
        <f>IF(COUNTA(A62:R62)=0,"",IF(COUNTBLANK(A62:R62)-IF(A62="결승",IF(B62="",1,0),0)&gt;0,"빈칸 "&amp;(COUNTBLANK(A62:R62)-IF(A62="결승",IF(B62="",1,0),0))&amp;"개",IF(D62=E62,"홈·원정 같음","OK")))</f>
        <v/>
      </c>
    </row>
    <row r="63" spans="1:24" x14ac:dyDescent="0.3">
      <c r="A63" s="7"/>
      <c r="B63" s="7"/>
      <c r="C63" s="11"/>
      <c r="D63" s="7"/>
      <c r="E63" s="7"/>
      <c r="F63" s="12"/>
      <c r="G63" s="12"/>
      <c r="H63" s="7"/>
      <c r="I63" s="7"/>
      <c r="J63" s="12"/>
      <c r="K63" s="12"/>
      <c r="L63" s="7"/>
      <c r="M63" s="7"/>
      <c r="N63" s="12"/>
      <c r="O63" s="12"/>
      <c r="P63" s="7"/>
      <c r="Q63" s="7"/>
      <c r="R63" s="7"/>
      <c r="S63" s="13"/>
      <c r="T63" s="14"/>
      <c r="U63" s="15"/>
      <c r="V63" s="16" t="str">
        <f>IF(A63="","",IF(A63="결승","PO-FINAL",IF(B63="","번호 없음",IF(A63="PO","PO-"&amp;B63&amp;"M",A63&amp;"-"&amp;B63&amp;"M"))))</f>
        <v/>
      </c>
      <c r="W63" s="16" t="str">
        <f>IF(C63="","",IFERROR(CHOOSE(WEEKDAY(C63),"일","월","화","수","목","금","토"),"날짜 확인"))</f>
        <v/>
      </c>
      <c r="X63" s="16" t="str">
        <f>IF(COUNTA(A63:R63)=0,"",IF(COUNTBLANK(A63:R63)-IF(A63="결승",IF(B63="",1,0),0)&gt;0,"빈칸 "&amp;(COUNTBLANK(A63:R63)-IF(A63="결승",IF(B63="",1,0),0))&amp;"개",IF(D63=E63,"홈·원정 같음","OK")))</f>
        <v/>
      </c>
    </row>
    <row r="64" spans="1:24" x14ac:dyDescent="0.3">
      <c r="A64" s="7"/>
      <c r="B64" s="7"/>
      <c r="C64" s="11"/>
      <c r="D64" s="7"/>
      <c r="E64" s="7"/>
      <c r="F64" s="12"/>
      <c r="G64" s="12"/>
      <c r="H64" s="7"/>
      <c r="I64" s="7"/>
      <c r="J64" s="12"/>
      <c r="K64" s="12"/>
      <c r="L64" s="7"/>
      <c r="M64" s="7"/>
      <c r="N64" s="12"/>
      <c r="O64" s="12"/>
      <c r="P64" s="7"/>
      <c r="Q64" s="7"/>
      <c r="R64" s="7"/>
      <c r="S64" s="13"/>
      <c r="T64" s="14"/>
      <c r="U64" s="15"/>
      <c r="V64" s="16" t="str">
        <f>IF(A64="","",IF(A64="결승","PO-FINAL",IF(B64="","번호 없음",IF(A64="PO","PO-"&amp;B64&amp;"M",A64&amp;"-"&amp;B64&amp;"M"))))</f>
        <v/>
      </c>
      <c r="W64" s="16" t="str">
        <f>IF(C64="","",IFERROR(CHOOSE(WEEKDAY(C64),"일","월","화","수","목","금","토"),"날짜 확인"))</f>
        <v/>
      </c>
      <c r="X64" s="16" t="str">
        <f>IF(COUNTA(A64:R64)=0,"",IF(COUNTBLANK(A64:R64)-IF(A64="결승",IF(B64="",1,0),0)&gt;0,"빈칸 "&amp;(COUNTBLANK(A64:R64)-IF(A64="결승",IF(B64="",1,0),0))&amp;"개",IF(D64=E64,"홈·원정 같음","OK")))</f>
        <v/>
      </c>
    </row>
    <row r="65" spans="1:24" x14ac:dyDescent="0.3">
      <c r="A65" s="7"/>
      <c r="B65" s="7"/>
      <c r="C65" s="11"/>
      <c r="D65" s="7"/>
      <c r="E65" s="7"/>
      <c r="F65" s="12"/>
      <c r="G65" s="12"/>
      <c r="H65" s="7"/>
      <c r="I65" s="7"/>
      <c r="J65" s="12"/>
      <c r="K65" s="12"/>
      <c r="L65" s="7"/>
      <c r="M65" s="7"/>
      <c r="N65" s="12"/>
      <c r="O65" s="12"/>
      <c r="P65" s="7"/>
      <c r="Q65" s="7"/>
      <c r="R65" s="7"/>
      <c r="S65" s="13"/>
      <c r="T65" s="14"/>
      <c r="U65" s="15"/>
      <c r="V65" s="16" t="str">
        <f>IF(A65="","",IF(A65="결승","PO-FINAL",IF(B65="","번호 없음",IF(A65="PO","PO-"&amp;B65&amp;"M",A65&amp;"-"&amp;B65&amp;"M"))))</f>
        <v/>
      </c>
      <c r="W65" s="16" t="str">
        <f>IF(C65="","",IFERROR(CHOOSE(WEEKDAY(C65),"일","월","화","수","목","금","토"),"날짜 확인"))</f>
        <v/>
      </c>
      <c r="X65" s="16" t="str">
        <f>IF(COUNTA(A65:R65)=0,"",IF(COUNTBLANK(A65:R65)-IF(A65="결승",IF(B65="",1,0),0)&gt;0,"빈칸 "&amp;(COUNTBLANK(A65:R65)-IF(A65="결승",IF(B65="",1,0),0))&amp;"개",IF(D65=E65,"홈·원정 같음","OK")))</f>
        <v/>
      </c>
    </row>
    <row r="66" spans="1:24" x14ac:dyDescent="0.3">
      <c r="A66" s="7"/>
      <c r="B66" s="7"/>
      <c r="C66" s="11"/>
      <c r="D66" s="7"/>
      <c r="E66" s="7"/>
      <c r="F66" s="12"/>
      <c r="G66" s="12"/>
      <c r="H66" s="7"/>
      <c r="I66" s="7"/>
      <c r="J66" s="12"/>
      <c r="K66" s="12"/>
      <c r="L66" s="7"/>
      <c r="M66" s="7"/>
      <c r="N66" s="12"/>
      <c r="O66" s="12"/>
      <c r="P66" s="7"/>
      <c r="Q66" s="7"/>
      <c r="R66" s="7"/>
      <c r="S66" s="13"/>
      <c r="T66" s="14"/>
      <c r="U66" s="15"/>
      <c r="V66" s="16" t="str">
        <f>IF(A66="","",IF(A66="결승","PO-FINAL",IF(B66="","번호 없음",IF(A66="PO","PO-"&amp;B66&amp;"M",A66&amp;"-"&amp;B66&amp;"M"))))</f>
        <v/>
      </c>
      <c r="W66" s="16" t="str">
        <f>IF(C66="","",IFERROR(CHOOSE(WEEKDAY(C66),"일","월","화","수","목","금","토"),"날짜 확인"))</f>
        <v/>
      </c>
      <c r="X66" s="16" t="str">
        <f>IF(COUNTA(A66:R66)=0,"",IF(COUNTBLANK(A66:R66)-IF(A66="결승",IF(B66="",1,0),0)&gt;0,"빈칸 "&amp;(COUNTBLANK(A66:R66)-IF(A66="결승",IF(B66="",1,0),0))&amp;"개",IF(D66=E66,"홈·원정 같음","OK")))</f>
        <v/>
      </c>
    </row>
    <row r="67" spans="1:24" x14ac:dyDescent="0.3">
      <c r="A67" s="7"/>
      <c r="B67" s="7"/>
      <c r="C67" s="11"/>
      <c r="D67" s="7"/>
      <c r="E67" s="7"/>
      <c r="F67" s="12"/>
      <c r="G67" s="12"/>
      <c r="H67" s="7"/>
      <c r="I67" s="7"/>
      <c r="J67" s="12"/>
      <c r="K67" s="12"/>
      <c r="L67" s="7"/>
      <c r="M67" s="7"/>
      <c r="N67" s="12"/>
      <c r="O67" s="12"/>
      <c r="P67" s="7"/>
      <c r="Q67" s="7"/>
      <c r="R67" s="7"/>
      <c r="S67" s="13"/>
      <c r="T67" s="14"/>
      <c r="U67" s="15"/>
      <c r="V67" s="16" t="str">
        <f>IF(A67="","",IF(A67="결승","PO-FINAL",IF(B67="","번호 없음",IF(A67="PO","PO-"&amp;B67&amp;"M",A67&amp;"-"&amp;B67&amp;"M"))))</f>
        <v/>
      </c>
      <c r="W67" s="16" t="str">
        <f>IF(C67="","",IFERROR(CHOOSE(WEEKDAY(C67),"일","월","화","수","목","금","토"),"날짜 확인"))</f>
        <v/>
      </c>
      <c r="X67" s="16" t="str">
        <f>IF(COUNTA(A67:R67)=0,"",IF(COUNTBLANK(A67:R67)-IF(A67="결승",IF(B67="",1,0),0)&gt;0,"빈칸 "&amp;(COUNTBLANK(A67:R67)-IF(A67="결승",IF(B67="",1,0),0))&amp;"개",IF(D67=E67,"홈·원정 같음","OK")))</f>
        <v/>
      </c>
    </row>
    <row r="68" spans="1:24" x14ac:dyDescent="0.3">
      <c r="A68" s="7"/>
      <c r="B68" s="7"/>
      <c r="C68" s="11"/>
      <c r="D68" s="7"/>
      <c r="E68" s="7"/>
      <c r="F68" s="12"/>
      <c r="G68" s="12"/>
      <c r="H68" s="7"/>
      <c r="I68" s="7"/>
      <c r="J68" s="12"/>
      <c r="K68" s="12"/>
      <c r="L68" s="7"/>
      <c r="M68" s="7"/>
      <c r="N68" s="12"/>
      <c r="O68" s="12"/>
      <c r="P68" s="7"/>
      <c r="Q68" s="7"/>
      <c r="R68" s="7"/>
      <c r="S68" s="13"/>
      <c r="T68" s="14"/>
      <c r="U68" s="15"/>
      <c r="V68" s="16" t="str">
        <f>IF(A68="","",IF(A68="결승","PO-FINAL",IF(B68="","번호 없음",IF(A68="PO","PO-"&amp;B68&amp;"M",A68&amp;"-"&amp;B68&amp;"M"))))</f>
        <v/>
      </c>
      <c r="W68" s="16" t="str">
        <f>IF(C68="","",IFERROR(CHOOSE(WEEKDAY(C68),"일","월","화","수","목","금","토"),"날짜 확인"))</f>
        <v/>
      </c>
      <c r="X68" s="16" t="str">
        <f>IF(COUNTA(A68:R68)=0,"",IF(COUNTBLANK(A68:R68)-IF(A68="결승",IF(B68="",1,0),0)&gt;0,"빈칸 "&amp;(COUNTBLANK(A68:R68)-IF(A68="결승",IF(B68="",1,0),0))&amp;"개",IF(D68=E68,"홈·원정 같음","OK")))</f>
        <v/>
      </c>
    </row>
    <row r="69" spans="1:24" x14ac:dyDescent="0.3">
      <c r="A69" s="7"/>
      <c r="B69" s="7"/>
      <c r="C69" s="11"/>
      <c r="D69" s="7"/>
      <c r="E69" s="7"/>
      <c r="F69" s="12"/>
      <c r="G69" s="12"/>
      <c r="H69" s="7"/>
      <c r="I69" s="7"/>
      <c r="J69" s="12"/>
      <c r="K69" s="12"/>
      <c r="L69" s="7"/>
      <c r="M69" s="7"/>
      <c r="N69" s="12"/>
      <c r="O69" s="12"/>
      <c r="P69" s="7"/>
      <c r="Q69" s="7"/>
      <c r="R69" s="7"/>
      <c r="S69" s="13"/>
      <c r="T69" s="14"/>
      <c r="U69" s="15"/>
      <c r="V69" s="16" t="str">
        <f>IF(A69="","",IF(A69="결승","PO-FINAL",IF(B69="","번호 없음",IF(A69="PO","PO-"&amp;B69&amp;"M",A69&amp;"-"&amp;B69&amp;"M"))))</f>
        <v/>
      </c>
      <c r="W69" s="16" t="str">
        <f>IF(C69="","",IFERROR(CHOOSE(WEEKDAY(C69),"일","월","화","수","목","금","토"),"날짜 확인"))</f>
        <v/>
      </c>
      <c r="X69" s="16" t="str">
        <f>IF(COUNTA(A69:R69)=0,"",IF(COUNTBLANK(A69:R69)-IF(A69="결승",IF(B69="",1,0),0)&gt;0,"빈칸 "&amp;(COUNTBLANK(A69:R69)-IF(A69="결승",IF(B69="",1,0),0))&amp;"개",IF(D69=E69,"홈·원정 같음","OK")))</f>
        <v/>
      </c>
    </row>
    <row r="70" spans="1:24" x14ac:dyDescent="0.3">
      <c r="A70" s="7"/>
      <c r="B70" s="7"/>
      <c r="C70" s="11"/>
      <c r="D70" s="7"/>
      <c r="E70" s="7"/>
      <c r="F70" s="12"/>
      <c r="G70" s="12"/>
      <c r="H70" s="7"/>
      <c r="I70" s="7"/>
      <c r="J70" s="12"/>
      <c r="K70" s="12"/>
      <c r="L70" s="7"/>
      <c r="M70" s="7"/>
      <c r="N70" s="12"/>
      <c r="O70" s="12"/>
      <c r="P70" s="7"/>
      <c r="Q70" s="7"/>
      <c r="R70" s="7"/>
      <c r="S70" s="13"/>
      <c r="T70" s="14"/>
      <c r="U70" s="15"/>
      <c r="V70" s="16" t="str">
        <f>IF(A70="","",IF(A70="결승","PO-FINAL",IF(B70="","번호 없음",IF(A70="PO","PO-"&amp;B70&amp;"M",A70&amp;"-"&amp;B70&amp;"M"))))</f>
        <v/>
      </c>
      <c r="W70" s="16" t="str">
        <f>IF(C70="","",IFERROR(CHOOSE(WEEKDAY(C70),"일","월","화","수","목","금","토"),"날짜 확인"))</f>
        <v/>
      </c>
      <c r="X70" s="16" t="str">
        <f>IF(COUNTA(A70:R70)=0,"",IF(COUNTBLANK(A70:R70)-IF(A70="결승",IF(B70="",1,0),0)&gt;0,"빈칸 "&amp;(COUNTBLANK(A70:R70)-IF(A70="결승",IF(B70="",1,0),0))&amp;"개",IF(D70=E70,"홈·원정 같음","OK")))</f>
        <v/>
      </c>
    </row>
    <row r="71" spans="1:24" x14ac:dyDescent="0.3">
      <c r="A71" s="7"/>
      <c r="B71" s="7"/>
      <c r="C71" s="11"/>
      <c r="D71" s="7"/>
      <c r="E71" s="7"/>
      <c r="F71" s="12"/>
      <c r="G71" s="12"/>
      <c r="H71" s="7"/>
      <c r="I71" s="7"/>
      <c r="J71" s="12"/>
      <c r="K71" s="12"/>
      <c r="L71" s="7"/>
      <c r="M71" s="7"/>
      <c r="N71" s="12"/>
      <c r="O71" s="12"/>
      <c r="P71" s="7"/>
      <c r="Q71" s="7"/>
      <c r="R71" s="7"/>
      <c r="S71" s="13"/>
      <c r="T71" s="14"/>
      <c r="U71" s="15"/>
      <c r="V71" s="16" t="str">
        <f>IF(A71="","",IF(A71="결승","PO-FINAL",IF(B71="","번호 없음",IF(A71="PO","PO-"&amp;B71&amp;"M",A71&amp;"-"&amp;B71&amp;"M"))))</f>
        <v/>
      </c>
      <c r="W71" s="16" t="str">
        <f>IF(C71="","",IFERROR(CHOOSE(WEEKDAY(C71),"일","월","화","수","목","금","토"),"날짜 확인"))</f>
        <v/>
      </c>
      <c r="X71" s="16" t="str">
        <f>IF(COUNTA(A71:R71)=0,"",IF(COUNTBLANK(A71:R71)-IF(A71="결승",IF(B71="",1,0),0)&gt;0,"빈칸 "&amp;(COUNTBLANK(A71:R71)-IF(A71="결승",IF(B71="",1,0),0))&amp;"개",IF(D71=E71,"홈·원정 같음","OK")))</f>
        <v/>
      </c>
    </row>
    <row r="72" spans="1:24" x14ac:dyDescent="0.3">
      <c r="A72" s="7"/>
      <c r="B72" s="7"/>
      <c r="C72" s="11"/>
      <c r="D72" s="7"/>
      <c r="E72" s="7"/>
      <c r="F72" s="12"/>
      <c r="G72" s="12"/>
      <c r="H72" s="7"/>
      <c r="I72" s="7"/>
      <c r="J72" s="12"/>
      <c r="K72" s="12"/>
      <c r="L72" s="7"/>
      <c r="M72" s="7"/>
      <c r="N72" s="12"/>
      <c r="O72" s="12"/>
      <c r="P72" s="7"/>
      <c r="Q72" s="7"/>
      <c r="R72" s="7"/>
      <c r="S72" s="13"/>
      <c r="T72" s="14"/>
      <c r="U72" s="15"/>
      <c r="V72" s="16" t="str">
        <f>IF(A72="","",IF(A72="결승","PO-FINAL",IF(B72="","번호 없음",IF(A72="PO","PO-"&amp;B72&amp;"M",A72&amp;"-"&amp;B72&amp;"M"))))</f>
        <v/>
      </c>
      <c r="W72" s="16" t="str">
        <f>IF(C72="","",IFERROR(CHOOSE(WEEKDAY(C72),"일","월","화","수","목","금","토"),"날짜 확인"))</f>
        <v/>
      </c>
      <c r="X72" s="16" t="str">
        <f>IF(COUNTA(A72:R72)=0,"",IF(COUNTBLANK(A72:R72)-IF(A72="결승",IF(B72="",1,0),0)&gt;0,"빈칸 "&amp;(COUNTBLANK(A72:R72)-IF(A72="결승",IF(B72="",1,0),0))&amp;"개",IF(D72=E72,"홈·원정 같음","OK")))</f>
        <v/>
      </c>
    </row>
    <row r="73" spans="1:24" x14ac:dyDescent="0.3">
      <c r="A73" s="7"/>
      <c r="B73" s="7"/>
      <c r="C73" s="11"/>
      <c r="D73" s="7"/>
      <c r="E73" s="7"/>
      <c r="F73" s="12"/>
      <c r="G73" s="12"/>
      <c r="H73" s="7"/>
      <c r="I73" s="7"/>
      <c r="J73" s="12"/>
      <c r="K73" s="12"/>
      <c r="L73" s="7"/>
      <c r="M73" s="7"/>
      <c r="N73" s="12"/>
      <c r="O73" s="12"/>
      <c r="P73" s="7"/>
      <c r="Q73" s="7"/>
      <c r="R73" s="7"/>
      <c r="S73" s="13"/>
      <c r="T73" s="14"/>
      <c r="U73" s="15"/>
      <c r="V73" s="16" t="str">
        <f>IF(A73="","",IF(A73="결승","PO-FINAL",IF(B73="","번호 없음",IF(A73="PO","PO-"&amp;B73&amp;"M",A73&amp;"-"&amp;B73&amp;"M"))))</f>
        <v/>
      </c>
      <c r="W73" s="16" t="str">
        <f>IF(C73="","",IFERROR(CHOOSE(WEEKDAY(C73),"일","월","화","수","목","금","토"),"날짜 확인"))</f>
        <v/>
      </c>
      <c r="X73" s="16" t="str">
        <f>IF(COUNTA(A73:R73)=0,"",IF(COUNTBLANK(A73:R73)-IF(A73="결승",IF(B73="",1,0),0)&gt;0,"빈칸 "&amp;(COUNTBLANK(A73:R73)-IF(A73="결승",IF(B73="",1,0),0))&amp;"개",IF(D73=E73,"홈·원정 같음","OK")))</f>
        <v/>
      </c>
    </row>
    <row r="74" spans="1:24" x14ac:dyDescent="0.3">
      <c r="A74" s="7"/>
      <c r="B74" s="7"/>
      <c r="C74" s="11"/>
      <c r="D74" s="7"/>
      <c r="E74" s="7"/>
      <c r="F74" s="12"/>
      <c r="G74" s="12"/>
      <c r="H74" s="7"/>
      <c r="I74" s="7"/>
      <c r="J74" s="12"/>
      <c r="K74" s="12"/>
      <c r="L74" s="7"/>
      <c r="M74" s="7"/>
      <c r="N74" s="12"/>
      <c r="O74" s="12"/>
      <c r="P74" s="7"/>
      <c r="Q74" s="7"/>
      <c r="R74" s="7"/>
      <c r="S74" s="13"/>
      <c r="T74" s="14"/>
      <c r="U74" s="15"/>
      <c r="V74" s="16" t="str">
        <f>IF(A74="","",IF(A74="결승","PO-FINAL",IF(B74="","번호 없음",IF(A74="PO","PO-"&amp;B74&amp;"M",A74&amp;"-"&amp;B74&amp;"M"))))</f>
        <v/>
      </c>
      <c r="W74" s="16" t="str">
        <f>IF(C74="","",IFERROR(CHOOSE(WEEKDAY(C74),"일","월","화","수","목","금","토"),"날짜 확인"))</f>
        <v/>
      </c>
      <c r="X74" s="16" t="str">
        <f>IF(COUNTA(A74:R74)=0,"",IF(COUNTBLANK(A74:R74)-IF(A74="결승",IF(B74="",1,0),0)&gt;0,"빈칸 "&amp;(COUNTBLANK(A74:R74)-IF(A74="결승",IF(B74="",1,0),0))&amp;"개",IF(D74=E74,"홈·원정 같음","OK")))</f>
        <v/>
      </c>
    </row>
    <row r="75" spans="1:24" x14ac:dyDescent="0.3">
      <c r="A75" s="7"/>
      <c r="B75" s="7"/>
      <c r="C75" s="11"/>
      <c r="D75" s="7"/>
      <c r="E75" s="7"/>
      <c r="F75" s="12"/>
      <c r="G75" s="12"/>
      <c r="H75" s="7"/>
      <c r="I75" s="7"/>
      <c r="J75" s="12"/>
      <c r="K75" s="12"/>
      <c r="L75" s="7"/>
      <c r="M75" s="7"/>
      <c r="N75" s="12"/>
      <c r="O75" s="12"/>
      <c r="P75" s="7"/>
      <c r="Q75" s="7"/>
      <c r="R75" s="7"/>
      <c r="S75" s="13"/>
      <c r="T75" s="14"/>
      <c r="U75" s="15"/>
      <c r="V75" s="16" t="str">
        <f>IF(A75="","",IF(A75="결승","PO-FINAL",IF(B75="","번호 없음",IF(A75="PO","PO-"&amp;B75&amp;"M",A75&amp;"-"&amp;B75&amp;"M"))))</f>
        <v/>
      </c>
      <c r="W75" s="16" t="str">
        <f>IF(C75="","",IFERROR(CHOOSE(WEEKDAY(C75),"일","월","화","수","목","금","토"),"날짜 확인"))</f>
        <v/>
      </c>
      <c r="X75" s="16" t="str">
        <f>IF(COUNTA(A75:R75)=0,"",IF(COUNTBLANK(A75:R75)-IF(A75="결승",IF(B75="",1,0),0)&gt;0,"빈칸 "&amp;(COUNTBLANK(A75:R75)-IF(A75="결승",IF(B75="",1,0),0))&amp;"개",IF(D75=E75,"홈·원정 같음","OK")))</f>
        <v/>
      </c>
    </row>
    <row r="76" spans="1:24" x14ac:dyDescent="0.3">
      <c r="A76" s="7"/>
      <c r="B76" s="7"/>
      <c r="C76" s="11"/>
      <c r="D76" s="7"/>
      <c r="E76" s="7"/>
      <c r="F76" s="12"/>
      <c r="G76" s="12"/>
      <c r="H76" s="7"/>
      <c r="I76" s="7"/>
      <c r="J76" s="12"/>
      <c r="K76" s="12"/>
      <c r="L76" s="7"/>
      <c r="M76" s="7"/>
      <c r="N76" s="12"/>
      <c r="O76" s="12"/>
      <c r="P76" s="7"/>
      <c r="Q76" s="7"/>
      <c r="R76" s="7"/>
      <c r="S76" s="13"/>
      <c r="T76" s="14"/>
      <c r="U76" s="15"/>
      <c r="V76" s="16" t="str">
        <f>IF(A76="","",IF(A76="결승","PO-FINAL",IF(B76="","번호 없음",IF(A76="PO","PO-"&amp;B76&amp;"M",A76&amp;"-"&amp;B76&amp;"M"))))</f>
        <v/>
      </c>
      <c r="W76" s="16" t="str">
        <f>IF(C76="","",IFERROR(CHOOSE(WEEKDAY(C76),"일","월","화","수","목","금","토"),"날짜 확인"))</f>
        <v/>
      </c>
      <c r="X76" s="16" t="str">
        <f>IF(COUNTA(A76:R76)=0,"",IF(COUNTBLANK(A76:R76)-IF(A76="결승",IF(B76="",1,0),0)&gt;0,"빈칸 "&amp;(COUNTBLANK(A76:R76)-IF(A76="결승",IF(B76="",1,0),0))&amp;"개",IF(D76=E76,"홈·원정 같음","OK")))</f>
        <v/>
      </c>
    </row>
    <row r="77" spans="1:24" x14ac:dyDescent="0.3">
      <c r="A77" s="7"/>
      <c r="B77" s="7"/>
      <c r="C77" s="11"/>
      <c r="D77" s="7"/>
      <c r="E77" s="7"/>
      <c r="F77" s="12"/>
      <c r="G77" s="12"/>
      <c r="H77" s="7"/>
      <c r="I77" s="7"/>
      <c r="J77" s="12"/>
      <c r="K77" s="12"/>
      <c r="L77" s="7"/>
      <c r="M77" s="7"/>
      <c r="N77" s="12"/>
      <c r="O77" s="12"/>
      <c r="P77" s="7"/>
      <c r="Q77" s="7"/>
      <c r="R77" s="7"/>
      <c r="S77" s="13"/>
      <c r="T77" s="14"/>
      <c r="U77" s="15"/>
      <c r="V77" s="16" t="str">
        <f>IF(A77="","",IF(A77="결승","PO-FINAL",IF(B77="","번호 없음",IF(A77="PO","PO-"&amp;B77&amp;"M",A77&amp;"-"&amp;B77&amp;"M"))))</f>
        <v/>
      </c>
      <c r="W77" s="16" t="str">
        <f>IF(C77="","",IFERROR(CHOOSE(WEEKDAY(C77),"일","월","화","수","목","금","토"),"날짜 확인"))</f>
        <v/>
      </c>
      <c r="X77" s="16" t="str">
        <f>IF(COUNTA(A77:R77)=0,"",IF(COUNTBLANK(A77:R77)-IF(A77="결승",IF(B77="",1,0),0)&gt;0,"빈칸 "&amp;(COUNTBLANK(A77:R77)-IF(A77="결승",IF(B77="",1,0),0))&amp;"개",IF(D77=E77,"홈·원정 같음","OK")))</f>
        <v/>
      </c>
    </row>
    <row r="78" spans="1:24" x14ac:dyDescent="0.3">
      <c r="A78" s="7"/>
      <c r="B78" s="7"/>
      <c r="C78" s="11"/>
      <c r="D78" s="7"/>
      <c r="E78" s="7"/>
      <c r="F78" s="12"/>
      <c r="G78" s="12"/>
      <c r="H78" s="7"/>
      <c r="I78" s="7"/>
      <c r="J78" s="12"/>
      <c r="K78" s="12"/>
      <c r="L78" s="7"/>
      <c r="M78" s="7"/>
      <c r="N78" s="12"/>
      <c r="O78" s="12"/>
      <c r="P78" s="7"/>
      <c r="Q78" s="7"/>
      <c r="R78" s="7"/>
      <c r="S78" s="13"/>
      <c r="T78" s="14"/>
      <c r="U78" s="15"/>
      <c r="V78" s="16" t="str">
        <f>IF(A78="","",IF(A78="결승","PO-FINAL",IF(B78="","번호 없음",IF(A78="PO","PO-"&amp;B78&amp;"M",A78&amp;"-"&amp;B78&amp;"M"))))</f>
        <v/>
      </c>
      <c r="W78" s="16" t="str">
        <f>IF(C78="","",IFERROR(CHOOSE(WEEKDAY(C78),"일","월","화","수","목","금","토"),"날짜 확인"))</f>
        <v/>
      </c>
      <c r="X78" s="16" t="str">
        <f>IF(COUNTA(A78:R78)=0,"",IF(COUNTBLANK(A78:R78)-IF(A78="결승",IF(B78="",1,0),0)&gt;0,"빈칸 "&amp;(COUNTBLANK(A78:R78)-IF(A78="결승",IF(B78="",1,0),0))&amp;"개",IF(D78=E78,"홈·원정 같음","OK")))</f>
        <v/>
      </c>
    </row>
    <row r="79" spans="1:24" x14ac:dyDescent="0.3">
      <c r="A79" s="7"/>
      <c r="B79" s="7"/>
      <c r="C79" s="11"/>
      <c r="D79" s="7"/>
      <c r="E79" s="7"/>
      <c r="F79" s="12"/>
      <c r="G79" s="12"/>
      <c r="H79" s="7"/>
      <c r="I79" s="7"/>
      <c r="J79" s="12"/>
      <c r="K79" s="12"/>
      <c r="L79" s="7"/>
      <c r="M79" s="7"/>
      <c r="N79" s="12"/>
      <c r="O79" s="12"/>
      <c r="P79" s="7"/>
      <c r="Q79" s="7"/>
      <c r="R79" s="7"/>
      <c r="S79" s="13"/>
      <c r="T79" s="14"/>
      <c r="U79" s="15"/>
      <c r="V79" s="16" t="str">
        <f>IF(A79="","",IF(A79="결승","PO-FINAL",IF(B79="","번호 없음",IF(A79="PO","PO-"&amp;B79&amp;"M",A79&amp;"-"&amp;B79&amp;"M"))))</f>
        <v/>
      </c>
      <c r="W79" s="16" t="str">
        <f>IF(C79="","",IFERROR(CHOOSE(WEEKDAY(C79),"일","월","화","수","목","금","토"),"날짜 확인"))</f>
        <v/>
      </c>
      <c r="X79" s="16" t="str">
        <f>IF(COUNTA(A79:R79)=0,"",IF(COUNTBLANK(A79:R79)-IF(A79="결승",IF(B79="",1,0),0)&gt;0,"빈칸 "&amp;(COUNTBLANK(A79:R79)-IF(A79="결승",IF(B79="",1,0),0))&amp;"개",IF(D79=E79,"홈·원정 같음","OK")))</f>
        <v/>
      </c>
    </row>
    <row r="80" spans="1:24" x14ac:dyDescent="0.3">
      <c r="A80" s="7"/>
      <c r="B80" s="7"/>
      <c r="C80" s="11"/>
      <c r="D80" s="7"/>
      <c r="E80" s="7"/>
      <c r="F80" s="12"/>
      <c r="G80" s="12"/>
      <c r="H80" s="7"/>
      <c r="I80" s="7"/>
      <c r="J80" s="12"/>
      <c r="K80" s="12"/>
      <c r="L80" s="7"/>
      <c r="M80" s="7"/>
      <c r="N80" s="12"/>
      <c r="O80" s="12"/>
      <c r="P80" s="7"/>
      <c r="Q80" s="7"/>
      <c r="R80" s="7"/>
      <c r="S80" s="13"/>
      <c r="T80" s="14"/>
      <c r="U80" s="15"/>
      <c r="V80" s="16" t="str">
        <f>IF(A80="","",IF(A80="결승","PO-FINAL",IF(B80="","번호 없음",IF(A80="PO","PO-"&amp;B80&amp;"M",A80&amp;"-"&amp;B80&amp;"M"))))</f>
        <v/>
      </c>
      <c r="W80" s="16" t="str">
        <f>IF(C80="","",IFERROR(CHOOSE(WEEKDAY(C80),"일","월","화","수","목","금","토"),"날짜 확인"))</f>
        <v/>
      </c>
      <c r="X80" s="16" t="str">
        <f>IF(COUNTA(A80:R80)=0,"",IF(COUNTBLANK(A80:R80)-IF(A80="결승",IF(B80="",1,0),0)&gt;0,"빈칸 "&amp;(COUNTBLANK(A80:R80)-IF(A80="결승",IF(B80="",1,0),0))&amp;"개",IF(D80=E80,"홈·원정 같음","OK")))</f>
        <v/>
      </c>
    </row>
    <row r="81" spans="1:24" x14ac:dyDescent="0.3">
      <c r="A81" s="7"/>
      <c r="B81" s="7"/>
      <c r="C81" s="11"/>
      <c r="D81" s="7"/>
      <c r="E81" s="7"/>
      <c r="F81" s="12"/>
      <c r="G81" s="12"/>
      <c r="H81" s="7"/>
      <c r="I81" s="7"/>
      <c r="J81" s="12"/>
      <c r="K81" s="12"/>
      <c r="L81" s="7"/>
      <c r="M81" s="7"/>
      <c r="N81" s="12"/>
      <c r="O81" s="12"/>
      <c r="P81" s="7"/>
      <c r="Q81" s="7"/>
      <c r="R81" s="7"/>
      <c r="S81" s="13"/>
      <c r="T81" s="14"/>
      <c r="U81" s="15"/>
      <c r="V81" s="16" t="str">
        <f>IF(A81="","",IF(A81="결승","PO-FINAL",IF(B81="","번호 없음",IF(A81="PO","PO-"&amp;B81&amp;"M",A81&amp;"-"&amp;B81&amp;"M"))))</f>
        <v/>
      </c>
      <c r="W81" s="16" t="str">
        <f>IF(C81="","",IFERROR(CHOOSE(WEEKDAY(C81),"일","월","화","수","목","금","토"),"날짜 확인"))</f>
        <v/>
      </c>
      <c r="X81" s="16" t="str">
        <f>IF(COUNTA(A81:R81)=0,"",IF(COUNTBLANK(A81:R81)-IF(A81="결승",IF(B81="",1,0),0)&gt;0,"빈칸 "&amp;(COUNTBLANK(A81:R81)-IF(A81="결승",IF(B81="",1,0),0))&amp;"개",IF(D81=E81,"홈·원정 같음","OK")))</f>
        <v/>
      </c>
    </row>
  </sheetData>
  <autoFilter ref="A1:X81"/>
  <phoneticPr fontId="8" type="noConversion"/>
  <conditionalFormatting sqref="X2:X81">
    <cfRule type="expression" dxfId="1" priority="1">
      <formula>AND(X2&lt;&gt;"",X2&lt;&gt;"OK")</formula>
    </cfRule>
    <cfRule type="expression" dxfId="0" priority="2">
      <formula>X2="OK"</formula>
    </cfRule>
  </conditionalFormatting>
  <dataValidations count="4">
    <dataValidation type="list" allowBlank="1" showErrorMessage="1" errorTitle="라운드" error="목록에서 골라 주세요: PO, 결승" sqref="A2:A81">
      <formula1>"PO,결승"</formula1>
    </dataValidation>
    <dataValidation type="whole" allowBlank="1" showErrorMessage="1" errorTitle="매치번호" error="1~999 숫자만 넣어 주세요. 정규 라운드는 1R~3R 전체에서 이어지는 번호예요." sqref="B2:B81">
      <formula1>1</formula1>
      <formula2>999</formula2>
    </dataValidation>
    <dataValidation type="date" operator="greaterThan" allowBlank="1" showErrorMessage="1" errorTitle="날짜" error="날짜로 넣어 주세요. 예: 10/4 또는 2026-10-04" sqref="C2:C81">
      <formula1>44927</formula1>
    </dataValidation>
    <dataValidation type="time" allowBlank="1" showErrorMessage="1" errorTitle="시간" error="시간으로 넣어 주세요. 예: 21:00" sqref="S2:S81"/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팀" error="'목록' 시트 A열의 팀 이름에서 골라 주세요.">
          <x14:formula1>
            <xm:f>목록!$A$2:$A$31</xm:f>
          </x14:formula1>
          <xm:sqref>D2:D81 E2:E81</xm:sqref>
        </x14:dataValidation>
        <x14:dataValidation type="list" allowBlank="1" showErrorMessage="1" errorTitle="세트 종류" error="목록에서 골라 주세요 (1티어~4티어, 팀플2~4, 홈지정, 어웨이지정)">
          <x14:formula1>
            <xm:f>목록!$D$2:$D$10</xm:f>
          </x14:formula1>
          <xm:sqref>F2:F81 H2:H81 J2:J81 L2:L81 N2:N81 P2:P81</xm:sqref>
        </x14:dataValidation>
        <x14:dataValidation type="list" allowBlank="1" showErrorMessage="1" errorTitle="맵" error="'목록' 시트 B열의 맵에서 골라 주세요.">
          <x14:formula1>
            <xm:f>목록!$B$2:$B$31</xm:f>
          </x14:formula1>
          <xm:sqref>G2:G81 I2:I81 K2:K81 M2:M81 O2:O81 Q2:Q81 R2:R81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2" customWidth="1"/>
    <col min="2" max="3" width="18" customWidth="1"/>
    <col min="4" max="4" width="22" customWidth="1"/>
    <col min="6" max="6" width="90" customWidth="1"/>
  </cols>
  <sheetData>
    <row r="1" spans="1:6" x14ac:dyDescent="0.3">
      <c r="A1" s="6" t="s">
        <v>66</v>
      </c>
      <c r="B1" s="6" t="s">
        <v>67</v>
      </c>
      <c r="C1" s="6" t="s">
        <v>68</v>
      </c>
      <c r="D1" s="6" t="s">
        <v>69</v>
      </c>
      <c r="F1" s="3" t="s">
        <v>70</v>
      </c>
    </row>
    <row r="2" spans="1:6" x14ac:dyDescent="0.3">
      <c r="A2" s="17"/>
      <c r="B2" s="17" t="s">
        <v>50</v>
      </c>
      <c r="C2" s="18" t="s">
        <v>49</v>
      </c>
      <c r="D2" s="18" t="s">
        <v>49</v>
      </c>
      <c r="F2" s="19" t="s">
        <v>71</v>
      </c>
    </row>
    <row r="3" spans="1:6" x14ac:dyDescent="0.3">
      <c r="A3" s="17"/>
      <c r="B3" s="17" t="s">
        <v>52</v>
      </c>
      <c r="C3" s="18" t="s">
        <v>51</v>
      </c>
      <c r="D3" s="18" t="s">
        <v>51</v>
      </c>
      <c r="F3" s="19" t="s">
        <v>72</v>
      </c>
    </row>
    <row r="4" spans="1:6" x14ac:dyDescent="0.3">
      <c r="A4" s="17"/>
      <c r="B4" s="17" t="s">
        <v>54</v>
      </c>
      <c r="C4" s="18" t="s">
        <v>53</v>
      </c>
      <c r="D4" s="18" t="s">
        <v>53</v>
      </c>
      <c r="F4" s="19" t="s">
        <v>73</v>
      </c>
    </row>
    <row r="5" spans="1:6" x14ac:dyDescent="0.3">
      <c r="A5" s="17"/>
      <c r="B5" s="17" t="s">
        <v>56</v>
      </c>
      <c r="C5" s="18" t="s">
        <v>57</v>
      </c>
      <c r="D5" s="18" t="s">
        <v>57</v>
      </c>
      <c r="F5" s="19" t="s">
        <v>74</v>
      </c>
    </row>
    <row r="6" spans="1:6" x14ac:dyDescent="0.3">
      <c r="A6" s="17"/>
      <c r="B6" s="17" t="s">
        <v>58</v>
      </c>
      <c r="C6" s="18" t="s">
        <v>55</v>
      </c>
      <c r="D6" s="18" t="s">
        <v>55</v>
      </c>
    </row>
    <row r="7" spans="1:6" x14ac:dyDescent="0.3">
      <c r="A7" s="17"/>
      <c r="B7" s="17" t="s">
        <v>60</v>
      </c>
      <c r="C7" s="18" t="s">
        <v>75</v>
      </c>
      <c r="D7" s="18" t="s">
        <v>75</v>
      </c>
    </row>
    <row r="8" spans="1:6" x14ac:dyDescent="0.3">
      <c r="A8" s="17"/>
      <c r="B8" s="17" t="s">
        <v>76</v>
      </c>
      <c r="C8" s="18" t="s">
        <v>77</v>
      </c>
      <c r="D8" s="18" t="s">
        <v>77</v>
      </c>
    </row>
    <row r="9" spans="1:6" x14ac:dyDescent="0.3">
      <c r="A9" s="17"/>
      <c r="B9" s="17" t="s">
        <v>78</v>
      </c>
      <c r="C9" s="18" t="s">
        <v>59</v>
      </c>
      <c r="D9" s="18" t="s">
        <v>59</v>
      </c>
    </row>
    <row r="10" spans="1:6" x14ac:dyDescent="0.3">
      <c r="A10" s="17"/>
      <c r="B10" s="17" t="s">
        <v>79</v>
      </c>
      <c r="D10" s="18" t="s">
        <v>80</v>
      </c>
    </row>
    <row r="11" spans="1:6" x14ac:dyDescent="0.3">
      <c r="A11" s="17"/>
      <c r="B11" s="17" t="s">
        <v>61</v>
      </c>
    </row>
    <row r="12" spans="1:6" x14ac:dyDescent="0.3">
      <c r="A12" s="17"/>
      <c r="B12" s="17" t="s">
        <v>81</v>
      </c>
    </row>
    <row r="13" spans="1:6" x14ac:dyDescent="0.3">
      <c r="A13" s="17"/>
      <c r="B13" s="17" t="s">
        <v>82</v>
      </c>
    </row>
    <row r="14" spans="1:6" x14ac:dyDescent="0.3">
      <c r="A14" s="17"/>
      <c r="B14" s="17"/>
    </row>
    <row r="15" spans="1:6" x14ac:dyDescent="0.3">
      <c r="A15" s="17"/>
      <c r="B15" s="17"/>
    </row>
    <row r="16" spans="1:6" x14ac:dyDescent="0.3">
      <c r="A16" s="17"/>
      <c r="B16" s="17"/>
    </row>
    <row r="17" spans="1:2" x14ac:dyDescent="0.3">
      <c r="A17" s="17"/>
      <c r="B17" s="17"/>
    </row>
    <row r="18" spans="1:2" x14ac:dyDescent="0.3">
      <c r="A18" s="17"/>
      <c r="B18" s="17"/>
    </row>
    <row r="19" spans="1:2" x14ac:dyDescent="0.3">
      <c r="A19" s="17"/>
      <c r="B19" s="17"/>
    </row>
    <row r="20" spans="1:2" x14ac:dyDescent="0.3">
      <c r="A20" s="17"/>
      <c r="B20" s="17"/>
    </row>
    <row r="21" spans="1:2" x14ac:dyDescent="0.3">
      <c r="A21" s="17"/>
      <c r="B21" s="17"/>
    </row>
    <row r="22" spans="1:2" x14ac:dyDescent="0.3">
      <c r="A22" s="17"/>
      <c r="B22" s="17"/>
    </row>
    <row r="23" spans="1:2" x14ac:dyDescent="0.3">
      <c r="A23" s="17"/>
      <c r="B23" s="17"/>
    </row>
    <row r="24" spans="1:2" x14ac:dyDescent="0.3">
      <c r="A24" s="17"/>
      <c r="B24" s="17"/>
    </row>
    <row r="25" spans="1:2" x14ac:dyDescent="0.3">
      <c r="A25" s="17"/>
      <c r="B25" s="17"/>
    </row>
    <row r="26" spans="1:2" x14ac:dyDescent="0.3">
      <c r="A26" s="17"/>
      <c r="B26" s="17"/>
    </row>
    <row r="27" spans="1:2" x14ac:dyDescent="0.3">
      <c r="A27" s="17"/>
      <c r="B27" s="17"/>
    </row>
    <row r="28" spans="1:2" x14ac:dyDescent="0.3">
      <c r="A28" s="17"/>
      <c r="B28" s="17"/>
    </row>
    <row r="29" spans="1:2" x14ac:dyDescent="0.3">
      <c r="A29" s="17"/>
      <c r="B29" s="17"/>
    </row>
    <row r="30" spans="1:2" x14ac:dyDescent="0.3">
      <c r="A30" s="17"/>
      <c r="B30" s="17"/>
    </row>
    <row r="31" spans="1:2" x14ac:dyDescent="0.3">
      <c r="A31" s="17"/>
      <c r="B31" s="17"/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안내</vt:lpstr>
      <vt:lpstr>정규라운드</vt:lpstr>
      <vt:lpstr>플레이오프</vt:lpstr>
      <vt:lpstr>목록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사용자</cp:lastModifiedBy>
  <dcterms:created xsi:type="dcterms:W3CDTF">2026-09-28T11:27:15Z</dcterms:created>
  <dcterms:modified xsi:type="dcterms:W3CDTF">2026-10-12T02:40:19Z</dcterms:modified>
</cp:coreProperties>
</file>